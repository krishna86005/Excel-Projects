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lenov\OneDrive\Desktop\"/>
    </mc:Choice>
  </mc:AlternateContent>
  <xr:revisionPtr revIDLastSave="0" documentId="13_ncr:1_{C5704AAA-E976-4520-B0E6-2C26B133095C}" xr6:coauthVersionLast="47" xr6:coauthVersionMax="47" xr10:uidLastSave="{00000000-0000-0000-0000-000000000000}"/>
  <bookViews>
    <workbookView xWindow="-108" yWindow="-108" windowWidth="23256" windowHeight="12456" activeTab="1" xr2:uid="{26D4546B-D2A1-4444-8EAF-A6228F96F0C1}"/>
  </bookViews>
  <sheets>
    <sheet name="Dashbord" sheetId="5" r:id="rId1"/>
    <sheet name="Data" sheetId="2" r:id="rId2"/>
    <sheet name="Assets" sheetId="4" r:id="rId3"/>
    <sheet name="pivots" sheetId="6" r:id="rId4"/>
    <sheet name="freework" sheetId="7" r:id="rId5"/>
  </sheets>
  <definedNames>
    <definedName name="_xlnm._FilterDatabase" localSheetId="1"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7" l="1"/>
  <c r="N5" i="7" s="1"/>
  <c r="L5" i="7"/>
  <c r="F4" i="7"/>
  <c r="H5" i="7"/>
  <c r="N6" i="7" s="1"/>
  <c r="L6" i="7"/>
  <c r="L7" i="7"/>
  <c r="L8" i="7"/>
  <c r="L9" i="7"/>
  <c r="G4" i="7"/>
  <c r="G5" i="7"/>
  <c r="G6" i="7"/>
  <c r="G7" i="7"/>
  <c r="G8" i="7"/>
  <c r="H6" i="7"/>
  <c r="N7" i="7" s="1"/>
  <c r="H7" i="7"/>
  <c r="N8" i="7" s="1"/>
  <c r="H8" i="7"/>
  <c r="N9" i="7" s="1"/>
  <c r="F5" i="7"/>
  <c r="F6" i="7"/>
  <c r="F7" i="7"/>
  <c r="F8"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s="1"/>
  <c r="K502" i="2" a="1"/>
  <c r="K502" i="2"/>
  <c r="K503" i="2" a="1"/>
  <c r="K503" i="2" s="1"/>
  <c r="K504" i="2" a="1"/>
  <c r="K504" i="2" s="1"/>
  <c r="K505" i="2" a="1"/>
  <c r="K505" i="2" s="1"/>
  <c r="K506" i="2" a="1"/>
  <c r="K506" i="2" s="1"/>
  <c r="K507" i="2" a="1"/>
  <c r="K507" i="2" s="1"/>
  <c r="K508" i="2" a="1"/>
  <c r="K508" i="2"/>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s="1"/>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c r="K766" i="2" a="1"/>
  <c r="K766" i="2" s="1"/>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c r="K989" i="2" a="1"/>
  <c r="K989" i="2" s="1"/>
  <c r="K990" i="2" a="1"/>
  <c r="K990" i="2"/>
  <c r="K991" i="2" a="1"/>
  <c r="K991" i="2" s="1"/>
  <c r="K992" i="2" a="1"/>
  <c r="K992" i="2" s="1"/>
  <c r="K993" i="2" a="1"/>
  <c r="K993" i="2" s="1"/>
  <c r="K994" i="2" a="1"/>
  <c r="K994" i="2" s="1"/>
  <c r="K995" i="2" a="1"/>
  <c r="K995" i="2" s="1"/>
  <c r="K996" i="2" a="1"/>
  <c r="K996" i="2" s="1"/>
  <c r="K997" i="2" a="1"/>
  <c r="K997" i="2"/>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5DFD7E-3E67-4665-8837-C515A103C45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B9490EE-07EC-4341-9498-07C15BAB2323}" name="WorksheetConnection_sample-data-excel-portfolio-project.xlsx!calls" type="102" refreshedVersion="7"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FC9B4A74-6854-4069-A2F3-46BF6F270035}"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<sst xmlns="http://schemas.openxmlformats.org/spreadsheetml/2006/main" count="3127" uniqueCount="1070">
  <si>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</si>
  <si>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</si>
  <si>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</si>
  <si>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</si>
  <si>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</si>
  <si>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</si>
  <si>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</si>
  <si>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</si>
  <si>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</si>
  <si>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</si>
  <si>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</si>
  <si>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</si>
  <si>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</si>
  <si>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</si>
  <si>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</si>
  <si>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</si>
  <si>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</si>
  <si>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</si>
  <si>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</si>
  <si>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</si>
  <si>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</si>
  <si>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</si>
  <si>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</si>
  <si>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</si>
  <si>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</si>
  <si>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</si>
  <si>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</si>
  <si>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</si>
  <si>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</si>
  <si>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</si>
  <si>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</si>
  <si>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</si>
  <si>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</si>
  <si>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</si>
  <si>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</si>
  <si>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</si>
  <si>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</si>
  <si>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</si>
  <si>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</si>
  <si>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</si>
  <si>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</si>
  <si>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</si>
  <si>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</si>
  <si>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</si>
  <si>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</si>
  <si>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</si>
  <si>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</si>
  <si>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</si>
  <si>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</si>
  <si>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</si>
  <si>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</si>
  <si>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</si>
  <si>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</si>
  <si>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</si>
  <si>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</si>
  <si>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</si>
  <si>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</si>
  <si>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</si>
  <si>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</si>
  <si>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</si>
  <si>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</si>
  <si>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</si>
  <si>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</si>
  <si>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</si>
  <si>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</si>
  <si>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</si>
  <si>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</si>
  <si>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</si>
  <si>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</si>
  <si>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</si>
  <si>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</si>
  <si>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</si>
  <si>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</si>
  <si>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</si>
  <si>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</si>
  <si>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</si>
  <si>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</si>
  <si>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</si>
  <si>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</si>
  <si>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</si>
  <si>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</si>
  <si>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</si>
  <si>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</si>
  <si>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</si>
  <si>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</si>
  <si>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</si>
  <si>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</si>
  <si>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</si>
  <si>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</si>
  <si>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</si>
  <si>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</si>
  <si>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</si>
  <si>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</si>
  <si>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</si>
  <si>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</si>
  <si>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</si>
  <si>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</si>
  <si>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</si>
  <si>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</si>
  <si>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</si>
  <si>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</si>
  <si>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</si>
  <si>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</si>
  <si>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</si>
  <si>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</si>
  <si>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</si>
  <si>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</si>
  <si>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</si>
  <si>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</si>
  <si>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</si>
  <si>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</si>
  <si>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</si>
  <si>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</si>
  <si>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</si>
  <si>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</si>
  <si>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</si>
  <si>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</si>
  <si>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</si>
  <si>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</si>
  <si>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</si>
  <si>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</si>
  <si>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</si>
  <si>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</si>
  <si>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</si>
  <si>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</si>
  <si>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</si>
  <si>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</si>
  <si>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</si>
  <si>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</si>
  <si>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</si>
  <si>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</si>
  <si>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</si>
  <si>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</si>
  <si>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</si>
  <si>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</si>
  <si>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</si>
  <si>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</si>
  <si>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</si>
  <si>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</si>
  <si>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</si>
  <si>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</si>
  <si>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</si>
  <si>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</si>
  <si>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</si>
  <si>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</si>
  <si>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</si>
  <si>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</si>
  <si>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</si>
  <si>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</si>
  <si>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</si>
  <si>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</si>
  <si>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</si>
  <si>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</si>
  <si>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</si>
  <si>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</si>
  <si>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</si>
  <si>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</si>
  <si>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</si>
  <si>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</si>
  <si>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</si>
  <si>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</si>
  <si>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</si>
  <si>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</si>
  <si>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</si>
  <si>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</si>
  <si>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</si>
  <si>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</si>
  <si>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</si>
  <si>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</si>
  <si>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</si>
  <si>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</si>
  <si>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</si>
  <si>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</si>
  <si>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</si>
  <si>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</si>
  <si>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</si>
  <si>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</si>
  <si>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</si>
  <si>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</si>
  <si>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</si>
  <si>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</si>
  <si>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</si>
  <si>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</si>
  <si>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</si>
  <si>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</si>
  <si>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</si>
  <si>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</si>
  <si>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</si>
  <si>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</si>
  <si>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</si>
  <si>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</si>
  <si>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</si>
  <si>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</si>
  <si>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</si>
  <si>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</si>
  <si>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</si>
  <si>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</si>
  <si>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</si>
  <si>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</si>
  <si>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</si>
  <si>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</si>
  <si>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</si>
  <si>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</si>
  <si>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</si>
  <si>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</si>
  <si>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</si>
  <si>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</si>
  <si>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</si>
  <si>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</si>
  <si>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</si>
  <si>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</si>
  <si>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</si>
  <si>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</si>
  <si>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</si>
  <si>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</si>
  <si>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</si>
  <si>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</si>
  <si>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</si>
  <si>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</si>
  <si>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</si>
  <si>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</si>
  <si>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</si>
  <si>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</si>
  <si>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</si>
  <si>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</si>
  <si>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</si>
  <si>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</si>
  <si>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</si>
  <si>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</si>
  <si>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</si>
  <si>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</si>
  <si>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</si>
  <si>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</si>
  <si>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</si>
  <si>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</si>
  <si>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</si>
  <si>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</si>
  <si>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</si>
  <si>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</si>
  <si>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</si>
  <si>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</si>
  <si>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</si>
  <si>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</si>
  <si>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</si>
  <si>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</si>
  <si>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</si>
  <si>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</si>
  <si>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</si>
  <si>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</si>
  <si>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</si>
  <si>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</si>
  <si>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</si>
  <si>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</si>
  <si>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</si>
  <si>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</si>
  <si>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</si>
  <si>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</si>
  <si>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</si>
  <si>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</si>
  <si>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</si>
  <si>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</si>
  <si>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</si>
  <si>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</si>
  <si>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</si>
  <si>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</si>
  <si>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</si>
  <si>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</si>
  <si>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</si>
  <si>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</si>
  <si>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</si>
  <si>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</si>
  <si>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</si>
  <si>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</si>
  <si>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</si>
  <si>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</si>
  <si>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</si>
  <si>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</si>
  <si>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</si>
  <si>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</si>
  <si>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</si>
  <si>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</si>
  <si>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</si>
  <si>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</si>
  <si>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</si>
  <si>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</si>
  <si>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</si>
  <si>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</si>
  <si>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</si>
  <si>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</si>
  <si>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</si>
  <si>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</si>
  <si>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</si>
  <si>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</si>
  <si>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</si>
  <si>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</si>
  <si>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</si>
  <si>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</si>
  <si>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</si>
  <si>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</si>
  <si>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</si>
  <si>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</si>
  <si>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</si>
  <si>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</si>
  <si>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</si>
  <si>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</si>
  <si>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</si>
  <si>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</si>
  <si>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</si>
  <si>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</si>
  <si>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</si>
  <si>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</si>
  <si>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</si>
  <si>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</si>
  <si>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</si>
  <si>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</si>
  <si>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</si>
  <si>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</si>
  <si>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</si>
  <si>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</si>
  <si>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</si>
  <si>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</si>
  <si>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</si>
  <si>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</si>
  <si>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</si>
  <si>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</si>
  <si>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</si>
  <si>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</si>
  <si>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</si>
  <si>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</si>
  <si>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</si>
  <si>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</si>
  <si>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</si>
  <si>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</si>
  <si>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</si>
  <si>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</si>
  <si>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</si>
  <si>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</si>
  <si>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</si>
  <si>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</si>
  <si>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</si>
  <si>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</si>
  <si>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</si>
  <si>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</si>
  <si>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</si>
  <si>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</si>
  <si>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</si>
  <si>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</si>
  <si>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</si>
  <si>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</si>
  <si>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</si>
  <si>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</si>
  <si>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</si>
  <si>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</si>
  <si>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</si>
  <si>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</si>
  <si>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</si>
  <si>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</si>
  <si>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</si>
  <si>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</si>
  <si>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</si>
  <si>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</si>
  <si>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</si>
  <si>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</si>
  <si>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</si>
  <si>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</si>
  <si>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</si>
  <si>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</si>
  <si>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</si>
  <si>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</si>
  <si>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</si>
  <si>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</si>
  <si>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</si>
  <si>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</si>
  <si>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</si>
  <si>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</si>
  <si>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</si>
  <si>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</si>
  <si>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</si>
  <si>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</si>
  <si>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</si>
  <si>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</si>
  <si>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</si>
  <si>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</si>
  <si>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</si>
  <si>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</si>
  <si>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</si>
  <si>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</si>
  <si>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</si>
  <si>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</si>
  <si>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</si>
  <si>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</si>
  <si>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</si>
  <si>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</si>
  <si>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</si>
  <si>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</si>
  <si>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</si>
  <si>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</si>
  <si>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</si>
  <si>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</si>
  <si>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</si>
  <si>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</si>
  <si>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</si>
  <si>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</si>
  <si>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</si>
  <si>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</si>
  <si>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</si>
  <si>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</si>
  <si>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</si>
  <si>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</si>
  <si>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</si>
  <si>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</si>
  <si>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</si>
  <si>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</si>
  <si>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</si>
  <si>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</si>
  <si>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</si>
  <si>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</si>
  <si>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</si>
  <si>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</si>
  <si>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</si>
  <si>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</si>
  <si>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</si>
  <si>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</si>
  <si>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</si>
  <si>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</si>
  <si>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</si>
  <si>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</si>
  <si>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</si>
  <si>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</si>
  <si>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</si>
  <si>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</si>
  <si>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</si>
  <si>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</si>
  <si>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</si>
  <si>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</si>
  <si>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</si>
  <si>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</si>
  <si>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</si>
  <si>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</si>
  <si>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</si>
  <si>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</si>
  <si>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</si>
  <si>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</si>
  <si>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</si>
  <si>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</si>
  <si>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</si>
  <si>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</si>
  <si>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</si>
  <si>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</si>
  <si>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</si>
  <si>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</si>
  <si>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</si>
  <si>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</si>
  <si>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</si>
  <si>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</si>
  <si>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</si>
  <si>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</si>
  <si>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</si>
  <si>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</si>
  <si>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</si>
  <si>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</si>
  <si>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</si>
  <si>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</si>
  <si>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</si>
  <si>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</si>
  <si>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</si>
  <si>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</si>
  <si>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</si>
  <si>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</si>
  <si>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</si>
  <si>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</si>
  <si>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</si>
  <si>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</si>
  <si>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</si>
  <si>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</si>
  <si>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</si>
  <si>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</si>
  <si>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</si>
  <si>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</si>
  <si>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</si>
  <si>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</si>
  <si>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</si>
  <si>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</si>
  <si>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</si>
  <si>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</si>
  <si>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</si>
  <si>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</si>
  <si>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</si>
  <si>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</si>
  <si>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</si>
  <si>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</si>
  <si>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</si>
  <si>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</si>
  <si>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</si>
  <si>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</si>
  <si>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</si>
  <si>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</si>
  <si>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</si>
  <si>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</si>
  <si>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</si>
  <si>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</si>
  <si>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</si>
  <si>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</si>
  <si>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</si>
  <si>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</si>
  <si>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</si>
  <si>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</si>
  <si>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</si>
  <si>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</si>
  <si>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</si>
  <si>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</si>
  <si>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</si>
  <si>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</si>
  <si>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</si>
  <si>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</si>
  <si>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</si>
  <si>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</si>
  <si>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</si>
  <si>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</si>
  <si>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</si>
  <si>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</si>
  <si>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</si>
  <si>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</si>
  <si>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</si>
  <si>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</si>
  <si>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</si>
  <si>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</si>
  <si>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</si>
  <si>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</si>
  <si>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</si>
  <si>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</si>
  <si>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</si>
  <si>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</si>
  <si>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</si>
  <si>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</si>
  <si>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</si>
  <si>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</si>
  <si>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</si>
  <si>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</si>
  <si>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</si>
  <si>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</si>
  <si>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</si>
  <si>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</si>
  <si>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</si>
  <si>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</si>
  <si>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</si>
  <si>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</si>
  <si>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</si>
  <si>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</si>
  <si>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</si>
  <si>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</si>
  <si>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</si>
  <si>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</si>
  <si>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</si>
  <si>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</si>
  <si>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</si>
  <si>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</si>
  <si>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</si>
  <si>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</si>
  <si>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</si>
  <si>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</si>
  <si>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</si>
  <si>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</si>
  <si>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</si>
  <si>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</si>
  <si>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</si>
  <si>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</si>
  <si>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</si>
  <si>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</si>
  <si>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</si>
  <si>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</si>
  <si>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</si>
  <si>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</si>
  <si>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</si>
  <si>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</si>
  <si>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</si>
  <si>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</si>
  <si>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</si>
  <si>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</si>
  <si>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</si>
  <si>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</si>
  <si>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</si>
  <si>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</si>
  <si>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</si>
  <si>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</si>
  <si>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</si>
  <si>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</si>
  <si>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</si>
  <si>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</si>
  <si>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</si>
  <si>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</si>
  <si>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</si>
  <si>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</si>
  <si>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</si>
  <si>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</si>
  <si>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</si>
  <si>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</si>
  <si>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</si>
  <si>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</si>
  <si>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</si>
  <si>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</si>
  <si>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</si>
  <si>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</si>
  <si>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</si>
  <si>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</si>
  <si>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</si>
  <si>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</si>
  <si>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</si>
  <si>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</si>
  <si>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</si>
  <si>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</si>
  <si>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</si>
  <si>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</si>
  <si>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</si>
  <si>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</si>
  <si>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</si>
  <si>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</si>
  <si>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</si>
  <si>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</si>
  <si>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</si>
  <si>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</si>
  <si>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</si>
  <si>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</si>
  <si>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</si>
  <si>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</si>
  <si>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</si>
  <si>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</si>
  <si>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</si>
  <si>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</si>
  <si>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</si>
  <si>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</si>
  <si>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</si>
  <si>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</si>
  <si>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</si>
  <si>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</si>
  <si>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</si>
  <si>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</si>
  <si>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</si>
  <si>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</si>
  <si>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</si>
  <si>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</si>
  <si>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</si>
  <si>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</si>
  <si>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</si>
  <si>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</si>
  <si>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</si>
  <si>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</si>
  <si>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</si>
  <si>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</si>
  <si>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</si>
  <si>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</si>
  <si>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</si>
  <si>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</si>
  <si>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</si>
  <si>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</si>
  <si>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</si>
  <si>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</si>
  <si>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</si>
  <si>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</si>
  <si>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</si>
  <si>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</si>
  <si>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</si>
  <si>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</si>
  <si>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</si>
  <si>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</si>
  <si>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</si>
  <si>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</si>
  <si>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</si>
  <si>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</si>
  <si>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</si>
  <si>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</si>
  <si>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</si>
  <si>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</si>
  <si>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</si>
  <si>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</si>
  <si>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</si>
  <si>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</si>
  <si>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</si>
  <si>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</si>
  <si>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</si>
  <si>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</si>
  <si>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</si>
  <si>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</si>
  <si>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</si>
  <si>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</si>
  <si>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</si>
  <si>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</si>
  <si>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</si>
  <si>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</si>
  <si>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</si>
  <si>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</si>
  <si>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</si>
  <si>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</si>
  <si>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</si>
  <si>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</si>
  <si>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</si>
  <si>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</si>
  <si>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</si>
  <si>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</si>
  <si>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</si>
  <si>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</si>
  <si>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</si>
  <si>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</si>
  <si>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</si>
  <si>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</si>
  <si>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</si>
  <si>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</si>
  <si>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</si>
  <si>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</si>
  <si>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</si>
  <si>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</si>
  <si>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</si>
  <si>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</si>
  <si>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</si>
  <si>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</si>
  <si>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</si>
  <si>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</si>
  <si>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</si>
  <si>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</si>
  <si>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</si>
  <si>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</si>
  <si>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</si>
  <si>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</si>
  <si>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</si>
  <si>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</si>
  <si>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</si>
  <si>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</si>
  <si>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</si>
  <si>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</si>
  <si>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</si>
  <si>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</si>
  <si>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</si>
  <si>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</si>
  <si>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</si>
  <si>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</si>
  <si>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</si>
  <si>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</si>
  <si>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</si>
  <si>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</si>
  <si>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</si>
  <si>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</si>
  <si>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</si>
  <si>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</si>
  <si>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</si>
  <si>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</si>
  <si>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</si>
  <si>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</si>
  <si>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</si>
  <si>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</si>
  <si>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</si>
  <si>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</si>
  <si>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</si>
  <si>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</si>
  <si>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</si>
  <si>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</si>
  <si>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</si>
  <si>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</si>
  <si>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</si>
  <si>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</si>
  <si>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</si>
  <si>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</si>
  <si>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</si>
  <si>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</si>
  <si>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</si>
  <si>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</si>
  <si>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</si>
  <si>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</si>
  <si>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</si>
  <si>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</si>
  <si>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</si>
  <si>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</si>
  <si>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</si>
  <si>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</si>
  <si>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</si>
  <si>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</si>
  <si>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</si>
  <si>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</si>
  <si>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</si>
  <si>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</si>
  <si>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</si>
  <si>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</si>
  <si>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</si>
  <si>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</si>
  <si>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</si>
  <si>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</si>
  <si>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</si>
  <si>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</si>
  <si>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</si>
  <si>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</si>
  <si>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</si>
  <si>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</si>
  <si>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</si>
  <si>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</si>
  <si>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</si>
  <si>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</si>
  <si>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</si>
  <si>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</si>
  <si>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</si>
  <si>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</si>
  <si>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</si>
  <si>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</si>
  <si>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</si>
  <si>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</si>
  <si>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</si>
  <si>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</si>
  <si>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</si>
  <si>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</si>
  <si>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</si>
  <si>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</si>
  <si>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</si>
  <si>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</si>
  <si>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</si>
  <si>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</si>
  <si>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</si>
  <si>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</si>
  <si>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</si>
  <si>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</si>
  <si>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</si>
  <si>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</si>
  <si>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</si>
  <si>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</si>
  <si>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</si>
  <si>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</si>
  <si>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</si>
  <si>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</si>
  <si>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</si>
  <si>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</si>
  <si>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</si>
  <si>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</si>
  <si>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</si>
  <si>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</si>
  <si>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</si>
  <si>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</si>
  <si>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</si>
  <si>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</si>
  <si>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</si>
  <si>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</si>
  <si>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</si>
  <si>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</si>
  <si>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</si>
  <si>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</si>
  <si>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</si>
  <si>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</si>
  <si>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</si>
  <si>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</si>
  <si>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</si>
  <si>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</si>
  <si>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</si>
  <si>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</si>
  <si>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</si>
  <si>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</si>
  <si>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</si>
  <si>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</si>
  <si>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</si>
  <si>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</si>
  <si>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</si>
  <si>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</si>
  <si>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</si>
  <si>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</si>
  <si>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</si>
  <si>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</si>
  <si>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</si>
  <si>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</si>
  <si>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</si>
  <si>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</si>
  <si>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</si>
  <si>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</si>
  <si>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</si>
  <si>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</si>
  <si>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</si>
  <si>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</si>
  <si>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</si>
  <si>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</si>
  <si>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</si>
  <si>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</si>
  <si>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</si>
  <si>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</si>
  <si>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</si>
  <si>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</si>
  <si>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</si>
  <si>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</si>
  <si>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</si>
  <si>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</si>
  <si>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</si>
  <si>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</si>
  <si>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</si>
  <si>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</si>
  <si>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</si>
  <si>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</si>
  <si>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</si>
  <si>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</si>
  <si>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</si>
  <si>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</si>
  <si>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</si>
  <si>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</si>
  <si>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</si>
  <si>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</si>
  <si>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</si>
  <si>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</si>
  <si>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</si>
  <si>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</si>
  <si>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</si>
  <si>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</si>
  <si>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</si>
  <si>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</si>
  <si>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</si>
  <si>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</si>
  <si>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</si>
  <si>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</si>
  <si>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</si>
  <si>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</si>
  <si>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</si>
  <si>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</si>
  <si>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</si>
  <si>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</si>
  <si>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</si>
  <si>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</si>
  <si>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</si>
  <si>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</si>
  <si>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</si>
  <si>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</si>
  <si>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</si>
  <si>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</si>
  <si>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</si>
  <si>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</si>
  <si>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</si>
  <si>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</si>
  <si>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</si>
  <si>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</si>
  <si>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</si>
  <si>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</si>
  <si>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</si>
  <si>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</si>
  <si>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</si>
  <si>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</si>
  <si>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</si>
  <si>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</si>
  <si>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</si>
  <si>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</si>
  <si>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</si>
  <si>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</si>
  <si>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</si>
  <si>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</si>
  <si>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</si>
  <si>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</si>
  <si>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</si>
  <si>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</si>
  <si>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</si>
  <si>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</si>
  <si>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</si>
  <si>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</si>
  <si>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</si>
  <si>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</si>
  <si>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</si>
  <si>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</si>
  <si>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</si>
  <si>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</si>
  <si>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</si>
  <si>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</si>
  <si>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</si>
  <si>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</si>
  <si>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</si>
  <si>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</si>
  <si>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</si>
  <si>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</si>
  <si>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</si>
  <si>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</si>
  <si>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</si>
  <si>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</si>
  <si>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</si>
  <si>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</si>
  <si>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</si>
  <si>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</si>
  <si>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</si>
  <si>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</si>
  <si>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</si>
  <si>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</si>
  <si>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</si>
  <si>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</si>
  <si>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</si>
  <si>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</si>
  <si>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</si>
  <si>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</si>
  <si>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</si>
  <si>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</si>
  <si>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</si>
  <si>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</si>
  <si>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</si>
  <si>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</si>
  <si>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</si>
  <si>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</si>
  <si>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</si>
  <si>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</si>
  <si>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</si>
  <si>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</si>
  <si>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</si>
  <si>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</si>
  <si>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</si>
  <si>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</si>
  <si>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</si>
  <si>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</si>
  <si>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</si>
  <si>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</si>
  <si>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</si>
  <si>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</si>
  <si>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</si>
  <si>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</si>
  <si>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</si>
  <si>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</si>
  <si>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</si>
  <si>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</si>
  <si>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</si>
  <si>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</si>
  <si>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</si>
  <si>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</si>
  <si>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</si>
  <si>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</si>
  <si>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</si>
  <si>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</si>
  <si>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</si>
  <si>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</si>
  <si>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</si>
  <si>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</si>
  <si>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</si>
  <si>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</si>
  <si>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</si>
  <si>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</si>
  <si>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</si>
  <si>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</si>
  <si>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</si>
  <si>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</si>
  <si>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</si>
  <si>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</si>
  <si>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</si>
  <si>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</si>
  <si>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</si>
  <si>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</si>
  <si>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</si>
  <si>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Mumbai</t>
  </si>
  <si>
    <t>Delhi</t>
  </si>
  <si>
    <t>Pune</t>
  </si>
  <si>
    <t>Call Count</t>
  </si>
  <si>
    <t>Amount</t>
  </si>
  <si>
    <t>Total Duration</t>
  </si>
  <si>
    <t>Avg-rating</t>
  </si>
  <si>
    <t>Row Labels</t>
  </si>
  <si>
    <t>Grand Total</t>
  </si>
  <si>
    <t>5 Star</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</si>
  <si>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</si>
  <si>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</si>
  <si>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</si>
  <si>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</si>
  <si>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</si>
  <si>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</si>
  <si>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</si>
  <si>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</si>
  <si>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</si>
  <si>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</si>
  <si>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</si>
  <si>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</si>
  <si>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</si>
  <si>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</si>
  <si>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</si>
  <si>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</si>
  <si>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</si>
  <si>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</si>
  <si>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</si>
  <si>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</si>
  <si>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Column Labels</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</si>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</sst>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quot;₹&quot;\ #,###,.&quot;k&quot;"/>
    <numFmt numFmtId="168" formatCode="&quot;₹&quot;\ #,###.0,&quot;k&quot;"/>
  </numFmts>
  <fonts count="4">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68" fontId="0" fillId="0" borderId="0" xfId="0" applyNumberFormat="1"/>
  </cellXfs>
  <cellStyles count="1">
    <cellStyle name="Normal" xfId="0" builtinId="0"/>
  </cellStyles>
  <dxfs count="1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[Dashborda call center.xlsx]pivots!monthly trend</c:name>
    <c:fmtId val="9"/>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MONTHLY CALLS</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75034485719957E-2"/>
          <c:y val="0.24620377753413736"/>
          <c:w val="0.89280100550811414"/>
          <c:h val="0.58843409036680328"/>
        </c:manualLayout>
      </c:layout>
      <c:areaChart>
        <c:grouping val="standard"/>
        <c:varyColors val="0"/>
        <c:ser>
          <c:idx val="1"/>
          <c:order val="1"/>
          <c:tx>
            <c:strRef>
              <c:f>pivots!$C$14</c:f>
              <c:strCache>
                <c:ptCount val="1"/>
                <c:pt idx="0">
                  <c:v>Call Count2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0011-4A77-BDB5-75BD2BDD6319}"/>
            </c:ext>
          </c:extLst>
        </c:ser>
        <c:dLbls>
          <c:showLegendKey val="0"/>
          <c:showVal val="0"/>
          <c:showCatName val="0"/>
          <c:showSerName val="0"/>
          <c:showPercent val="0"/>
          <c:showBubbleSize val="0"/>
        </c:dLbls>
        <c:axId val="770655071"/>
        <c:axId val="765108063"/>
      </c:areaChart>
      <c:lineChart>
        <c:grouping val="standard"/>
        <c:varyColors val="0"/>
        <c:ser>
          <c:idx val="0"/>
          <c:order val="0"/>
          <c:tx>
            <c:strRef>
              <c:f>pivots!$B$14</c:f>
              <c:strCache>
                <c:ptCount val="1"/>
                <c:pt idx="0">
                  <c:v>Call 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0011-4A77-BDB5-75BD2BDD6319}"/>
            </c:ext>
          </c:extLst>
        </c:ser>
        <c:dLbls>
          <c:showLegendKey val="0"/>
          <c:showVal val="0"/>
          <c:showCatName val="0"/>
          <c:showSerName val="0"/>
          <c:showPercent val="0"/>
          <c:showBubbleSize val="0"/>
        </c:dLbls>
        <c:marker val="1"/>
        <c:smooth val="0"/>
        <c:axId val="770655071"/>
        <c:axId val="765108063"/>
      </c:lineChart>
      <c:catAx>
        <c:axId val="770655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65108063"/>
        <c:crosses val="autoZero"/>
        <c:auto val="1"/>
        <c:lblAlgn val="ctr"/>
        <c:lblOffset val="100"/>
        <c:noMultiLvlLbl val="0"/>
      </c:catAx>
      <c:valAx>
        <c:axId val="76510806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7065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[Dashborda call center.xlsx]pivots!weekly trend</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WEEKLY CALLS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886512071826115"/>
          <c:y val="0.16778785803948421"/>
          <c:w val="0.62741394904918069"/>
          <c:h val="0.65516090380006842"/>
        </c:manualLayout>
      </c:layout>
      <c:barChart>
        <c:barDir val="bar"/>
        <c:grouping val="stacked"/>
        <c:varyColors val="0"/>
        <c:ser>
          <c:idx val="0"/>
          <c:order val="0"/>
          <c:tx>
            <c:strRef>
              <c:f>pivots!$H$14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pivots!$G$15:$G$22</c:f>
              <c:strCache>
                <c:ptCount val="7"/>
                <c:pt idx="0">
                  <c:v>Sunday</c:v>
                </c:pt>
                <c:pt idx="1">
                  <c:v>Monday</c:v>
                </c:pt>
                <c:pt idx="2">
                  <c:v>Tuesday</c:v>
                </c:pt>
                <c:pt idx="3">
                  <c:v>Wednesday</c:v>
                </c:pt>
                <c:pt idx="4">
                  <c:v>Thursday</c:v>
                </c:pt>
                <c:pt idx="5">
                  <c:v>Friday</c:v>
                </c:pt>
                <c:pt idx="6">
                  <c:v>Saturday</c:v>
                </c:pt>
              </c:strCache>
            </c:strRef>
          </c:cat>
          <c:val>
            <c:numRef>
              <c:f>pivots!$H$15:$H$22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DA91-454B-8793-CC59322B7209}"/>
            </c:ext>
          </c:extLst>
        </c:ser>
        <c:dLbls>
          <c:dLblPos val="ctr"/>
          <c:showLegendKey val="0"/>
          <c:showVal val="1"/>
          <c:showCatName val="0"/>
          <c:showSerName val="0"/>
          <c:showPercent val="0"/>
          <c:showBubbleSize val="0"/>
        </c:dLbls>
        <c:gapWidth val="150"/>
        <c:overlap val="56"/>
        <c:axId val="1048628079"/>
        <c:axId val="1048626415"/>
      </c:barChart>
      <c:catAx>
        <c:axId val="10486280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626415"/>
        <c:crosses val="autoZero"/>
        <c:auto val="1"/>
        <c:lblAlgn val="ctr"/>
        <c:lblOffset val="100"/>
        <c:noMultiLvlLbl val="0"/>
      </c:catAx>
      <c:valAx>
        <c:axId val="104862641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62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[Dashborda call center.xlsx]pivots!PivotTable6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M/F</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33082683804490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814757380948797"/>
              <c:y val="3.7823602572443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1173937085757458"/>
          <c:w val="0.65866668674063922"/>
          <c:h val="0.67296499404690768"/>
        </c:manualLayout>
      </c:layout>
      <c:pie3DChart>
        <c:varyColors val="1"/>
        <c:ser>
          <c:idx val="0"/>
          <c:order val="0"/>
          <c:tx>
            <c:strRef>
              <c:f>pivots!$L$13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A88-4998-A46C-703F248FA1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A88-4998-A46C-703F248FA16A}"/>
              </c:ext>
            </c:extLst>
          </c:dPt>
          <c:dLbls>
            <c:dLbl>
              <c:idx val="0"/>
              <c:layout>
                <c:manualLayout>
                  <c:x val="0.13814757380948797"/>
                  <c:y val="3.78236025724439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88-4998-A46C-703F248FA16A}"/>
                </c:ext>
              </c:extLst>
            </c:dLbl>
            <c:dLbl>
              <c:idx val="1"/>
              <c:layout>
                <c:manualLayout>
                  <c:x val="0"/>
                  <c:y val="-0.330826838044907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88-4998-A46C-703F248FA1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pivots!$K$14:$K$16</c:f>
              <c:strCache>
                <c:ptCount val="2"/>
                <c:pt idx="0">
                  <c:v>Male</c:v>
                </c:pt>
                <c:pt idx="1">
                  <c:v>Female</c:v>
                </c:pt>
              </c:strCache>
            </c:strRef>
          </c:cat>
          <c:val>
            <c:numRef>
              <c:f>pivots!$L$14:$L$16</c:f>
              <c:numCache>
                <c:formatCode>#,##0</c:formatCode>
                <c:ptCount val="2"/>
                <c:pt idx="0">
                  <c:v>83</c:v>
                </c:pt>
                <c:pt idx="1">
                  <c:v>117</c:v>
                </c:pt>
              </c:numCache>
            </c:numRef>
          </c:val>
          <c:extLst>
            <c:ext xmlns:c16="http://schemas.microsoft.com/office/drawing/2014/chart" uri="{C3380CC4-5D6E-409C-BE32-E72D297353CC}">
              <c16:uniqueId val="{00000004-CA88-4998-A46C-703F248FA16A}"/>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7141365933464803"/>
          <c:y val="6.3661793540562894E-2"/>
          <c:w val="0.2967189091803295"/>
          <c:h val="0.260981352878950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7432504981717584"/>
          <c:y val="0.22496722595539431"/>
          <c:w val="0.76881831724351413"/>
          <c:h val="0.54329595580657131"/>
        </c:manualLayout>
      </c:layout>
      <c:barChart>
        <c:barDir val="bar"/>
        <c:grouping val="stacked"/>
        <c:varyColors val="0"/>
        <c:ser>
          <c:idx val="0"/>
          <c:order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freework!$L$5:$L$9</c:f>
              <c:strCache>
                <c:ptCount val="5"/>
                <c:pt idx="0">
                  <c:v>R05</c:v>
                </c:pt>
                <c:pt idx="1">
                  <c:v>Grand Total</c:v>
                </c:pt>
                <c:pt idx="2">
                  <c:v>0</c:v>
                </c:pt>
                <c:pt idx="3">
                  <c:v>0</c:v>
                </c:pt>
                <c:pt idx="4">
                  <c:v>0</c:v>
                </c:pt>
              </c:strCache>
            </c:strRef>
          </c:cat>
          <c:val>
            <c:numRef>
              <c:f>freework!$M$5:$M$9</c:f>
              <c:numCache>
                <c:formatCode>"₹"\ #,###,."k"</c:formatCode>
                <c:ptCount val="5"/>
              </c:numCache>
            </c:numRef>
          </c:val>
          <c:extLst>
            <c:ext xmlns:c16="http://schemas.microsoft.com/office/drawing/2014/chart" uri="{C3380CC4-5D6E-409C-BE32-E72D297353CC}">
              <c16:uniqueId val="{00000000-AF82-4DBE-B2DE-DA930EBA5D47}"/>
            </c:ext>
          </c:extLst>
        </c:ser>
        <c:ser>
          <c:idx val="1"/>
          <c:order val="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19478564104548354"/>
                  <c:y val="-6.28272251308901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82-4DBE-B2DE-DA930EBA5D47}"/>
                </c:ext>
              </c:extLst>
            </c:dLbl>
            <c:dLbl>
              <c:idx val="1"/>
              <c:layout>
                <c:manualLayout>
                  <c:x val="-0.19251629940606321"/>
                  <c:y val="-8.37696335078535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82-4DBE-B2DE-DA930EBA5D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freework!$L$5:$L$9</c:f>
              <c:strCache>
                <c:ptCount val="5"/>
                <c:pt idx="0">
                  <c:v>R05</c:v>
                </c:pt>
                <c:pt idx="1">
                  <c:v>Grand Total</c:v>
                </c:pt>
                <c:pt idx="2">
                  <c:v>0</c:v>
                </c:pt>
                <c:pt idx="3">
                  <c:v>0</c:v>
                </c:pt>
                <c:pt idx="4">
                  <c:v>0</c:v>
                </c:pt>
              </c:strCache>
            </c:strRef>
          </c:cat>
          <c:val>
            <c:numRef>
              <c:f>freework!$N$5:$N$9</c:f>
              <c:numCache>
                <c:formatCode>"₹"\ #,###,."k"</c:formatCode>
                <c:ptCount val="5"/>
                <c:pt idx="0" formatCode="&quot;₹&quot;\ #,###.0,&quot;k&quot;">
                  <c:v>20104</c:v>
                </c:pt>
                <c:pt idx="1">
                  <c:v>20104</c:v>
                </c:pt>
                <c:pt idx="2">
                  <c:v>0</c:v>
                </c:pt>
                <c:pt idx="3">
                  <c:v>0</c:v>
                </c:pt>
                <c:pt idx="4">
                  <c:v>0</c:v>
                </c:pt>
              </c:numCache>
            </c:numRef>
          </c:val>
          <c:extLst>
            <c:ext xmlns:c16="http://schemas.microsoft.com/office/drawing/2014/chart" uri="{C3380CC4-5D6E-409C-BE32-E72D297353CC}">
              <c16:uniqueId val="{00000001-AF82-4DBE-B2DE-DA930EBA5D47}"/>
            </c:ext>
          </c:extLst>
        </c:ser>
        <c:dLbls>
          <c:dLblPos val="ctr"/>
          <c:showLegendKey val="0"/>
          <c:showVal val="1"/>
          <c:showCatName val="0"/>
          <c:showSerName val="0"/>
          <c:showPercent val="0"/>
          <c:showBubbleSize val="0"/>
        </c:dLbls>
        <c:gapWidth val="150"/>
        <c:overlap val="100"/>
        <c:axId val="1056347183"/>
        <c:axId val="1056345519"/>
      </c:barChart>
      <c:catAx>
        <c:axId val="10563471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345519"/>
        <c:crosses val="autoZero"/>
        <c:auto val="1"/>
        <c:lblAlgn val="ctr"/>
        <c:lblOffset val="100"/>
        <c:noMultiLvlLbl val="0"/>
      </c:catAx>
      <c:valAx>
        <c:axId val="10563455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34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CALLS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7388722282134997"/>
          <c:y val="0.3947467512363293"/>
          <c:w val="0.75889404485692191"/>
          <c:h val="0.37037037037037035"/>
        </c:manualLayout>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freework!$F$4:$F$8</c:f>
              <c:strCache>
                <c:ptCount val="5"/>
                <c:pt idx="0">
                  <c:v>R05</c:v>
                </c:pt>
                <c:pt idx="1">
                  <c:v>Grand Total</c:v>
                </c:pt>
                <c:pt idx="2">
                  <c:v>0</c:v>
                </c:pt>
                <c:pt idx="3">
                  <c:v>0</c:v>
                </c:pt>
                <c:pt idx="4">
                  <c:v>0</c:v>
                </c:pt>
              </c:strCache>
            </c:strRef>
          </c:cat>
          <c:val>
            <c:numRef>
              <c:f>freework!$G$4:$G$8</c:f>
              <c:numCache>
                <c:formatCode>General</c:formatCode>
                <c:ptCount val="5"/>
                <c:pt idx="0">
                  <c:v>200</c:v>
                </c:pt>
                <c:pt idx="1">
                  <c:v>200</c:v>
                </c:pt>
                <c:pt idx="2">
                  <c:v>0</c:v>
                </c:pt>
                <c:pt idx="3">
                  <c:v>0</c:v>
                </c:pt>
                <c:pt idx="4">
                  <c:v>0</c:v>
                </c:pt>
              </c:numCache>
            </c:numRef>
          </c:val>
          <c:extLst>
            <c:ext xmlns:c16="http://schemas.microsoft.com/office/drawing/2014/chart" uri="{C3380CC4-5D6E-409C-BE32-E72D297353CC}">
              <c16:uniqueId val="{00000000-BBEC-4287-A5C9-41ACAC2997DC}"/>
            </c:ext>
          </c:extLst>
        </c:ser>
        <c:dLbls>
          <c:dLblPos val="ctr"/>
          <c:showLegendKey val="0"/>
          <c:showVal val="1"/>
          <c:showCatName val="0"/>
          <c:showSerName val="0"/>
          <c:showPercent val="0"/>
          <c:showBubbleSize val="0"/>
        </c:dLbls>
        <c:gapWidth val="150"/>
        <c:overlap val="100"/>
        <c:axId val="1950614735"/>
        <c:axId val="1950629295"/>
      </c:barChart>
      <c:catAx>
        <c:axId val="1950614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629295"/>
        <c:crosses val="autoZero"/>
        <c:auto val="1"/>
        <c:lblAlgn val="ctr"/>
        <c:lblOffset val="100"/>
        <c:noMultiLvlLbl val="0"/>
      </c:catAx>
      <c:valAx>
        <c:axId val="1950629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61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[Dashborda call center.xlsx]pivots!PivotTable10</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RATIO</a:t>
            </a:r>
          </a:p>
        </c:rich>
      </c:tx>
      <c:layout>
        <c:manualLayout>
          <c:xMode val="edge"/>
          <c:yMode val="edge"/>
          <c:x val="0.33600000000000002"/>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pivots!$K$25:$K$26</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pivots!$J$27:$J$30</c:f>
              <c:strCache>
                <c:ptCount val="3"/>
                <c:pt idx="0">
                  <c:v>Delhi</c:v>
                </c:pt>
                <c:pt idx="1">
                  <c:v>Mumbai</c:v>
                </c:pt>
                <c:pt idx="2">
                  <c:v>Pune</c:v>
                </c:pt>
              </c:strCache>
            </c:strRef>
          </c:cat>
          <c:val>
            <c:numRef>
              <c:f>pivots!$K$27:$K$30</c:f>
              <c:numCache>
                <c:formatCode>#,##0</c:formatCode>
                <c:ptCount val="3"/>
                <c:pt idx="0">
                  <c:v>40</c:v>
                </c:pt>
                <c:pt idx="1">
                  <c:v>43</c:v>
                </c:pt>
                <c:pt idx="2">
                  <c:v>34</c:v>
                </c:pt>
              </c:numCache>
            </c:numRef>
          </c:val>
          <c:extLst>
            <c:ext xmlns:c16="http://schemas.microsoft.com/office/drawing/2014/chart" uri="{C3380CC4-5D6E-409C-BE32-E72D297353CC}">
              <c16:uniqueId val="{00000000-E2C1-4915-B791-67697545AC46}"/>
            </c:ext>
          </c:extLst>
        </c:ser>
        <c:ser>
          <c:idx val="1"/>
          <c:order val="1"/>
          <c:tx>
            <c:strRef>
              <c:f>pivots!$L$25:$L$26</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pivots!$J$27:$J$30</c:f>
              <c:strCache>
                <c:ptCount val="3"/>
                <c:pt idx="0">
                  <c:v>Delhi</c:v>
                </c:pt>
                <c:pt idx="1">
                  <c:v>Mumbai</c:v>
                </c:pt>
                <c:pt idx="2">
                  <c:v>Pune</c:v>
                </c:pt>
              </c:strCache>
            </c:strRef>
          </c:cat>
          <c:val>
            <c:numRef>
              <c:f>pivots!$L$27:$L$30</c:f>
              <c:numCache>
                <c:formatCode>#,##0</c:formatCode>
                <c:ptCount val="3"/>
                <c:pt idx="0">
                  <c:v>35</c:v>
                </c:pt>
                <c:pt idx="1">
                  <c:v>40</c:v>
                </c:pt>
                <c:pt idx="2">
                  <c:v>8</c:v>
                </c:pt>
              </c:numCache>
            </c:numRef>
          </c:val>
          <c:extLst>
            <c:ext xmlns:c16="http://schemas.microsoft.com/office/drawing/2014/chart" uri="{C3380CC4-5D6E-409C-BE32-E72D297353CC}">
              <c16:uniqueId val="{00000001-E2C1-4915-B791-67697545AC46}"/>
            </c:ext>
          </c:extLst>
        </c:ser>
        <c:dLbls>
          <c:dLblPos val="outEnd"/>
          <c:showLegendKey val="0"/>
          <c:showVal val="1"/>
          <c:showCatName val="0"/>
          <c:showSerName val="0"/>
          <c:showPercent val="0"/>
          <c:showBubbleSize val="0"/>
        </c:dLbls>
        <c:gapWidth val="100"/>
        <c:overlap val="-24"/>
        <c:axId val="1916750767"/>
        <c:axId val="1916757007"/>
      </c:barChart>
      <c:catAx>
        <c:axId val="1916750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757007"/>
        <c:crosses val="autoZero"/>
        <c:auto val="1"/>
        <c:lblAlgn val="ctr"/>
        <c:lblOffset val="100"/>
        <c:noMultiLvlLbl val="0"/>
      </c:catAx>
      <c:valAx>
        <c:axId val="19167570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75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dLbls>
          <c:showLegendKey val="0"/>
          <c:showVal val="0"/>
          <c:showCatName val="0"/>
          <c:showSerName val="0"/>
          <c:showPercent val="0"/>
          <c:showBubbleSize val="0"/>
        </c:dLbls>
        <c:gapWidth val="182"/>
        <c:axId val="1919701199"/>
        <c:axId val="1919693295"/>
      </c:barChart>
      <c:catAx>
        <c:axId val="191970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93295"/>
        <c:crosses val="autoZero"/>
        <c:auto val="1"/>
        <c:lblAlgn val="ctr"/>
        <c:lblOffset val="100"/>
        <c:noMultiLvlLbl val="0"/>
      </c:catAx>
      <c:valAx>
        <c:axId val="191969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0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5.svg"/><Relationship Id="rId3" Type="http://schemas.openxmlformats.org/officeDocument/2006/relationships/image" Target="../media/image12.png"/><Relationship Id="rId7" Type="http://schemas.openxmlformats.org/officeDocument/2006/relationships/image" Target="../media/image14.png"/><Relationship Id="rId12" Type="http://schemas.openxmlformats.org/officeDocument/2006/relationships/image" Target="../media/image8.svg"/><Relationship Id="rId2" Type="http://schemas.openxmlformats.org/officeDocument/2006/relationships/image" Target="../media/image10.svg"/><Relationship Id="rId1" Type="http://schemas.openxmlformats.org/officeDocument/2006/relationships/image" Target="../media/image11.png"/><Relationship Id="rId6" Type="http://schemas.openxmlformats.org/officeDocument/2006/relationships/image" Target="../media/image6.svg"/><Relationship Id="rId11" Type="http://schemas.openxmlformats.org/officeDocument/2006/relationships/image" Target="../media/image18.png"/><Relationship Id="rId5" Type="http://schemas.openxmlformats.org/officeDocument/2006/relationships/image" Target="../media/image13.png"/><Relationship Id="rId10" Type="http://schemas.openxmlformats.org/officeDocument/2006/relationships/image" Target="../media/image17.svg"/><Relationship Id="rId4" Type="http://schemas.openxmlformats.org/officeDocument/2006/relationships/image" Target="../media/image4.svg"/><Relationship Id="rId9"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274320</xdr:colOff>
      <xdr:row>3</xdr:row>
      <xdr:rowOff>114300</xdr:rowOff>
    </xdr:from>
    <xdr:to>
      <xdr:col>4</xdr:col>
      <xdr:colOff>160020</xdr:colOff>
      <xdr:row>8</xdr:row>
      <xdr:rowOff>152400</xdr:rowOff>
    </xdr:to>
    <xdr:sp macro="" textlink="pivots!A4">
      <xdr:nvSpPr>
        <xdr:cNvPr id="2" name="Rectangle 1">
          <a:extLst>
            <a:ext uri="{FF2B5EF4-FFF2-40B4-BE49-F238E27FC236}">
              <a16:creationId xmlns:a16="http://schemas.microsoft.com/office/drawing/2014/main" id="{EC5C553D-C6C2-449D-BBAC-30D0A8FF9E66}"/>
            </a:ext>
          </a:extLst>
        </xdr:cNvPr>
        <xdr:cNvSpPr/>
      </xdr:nvSpPr>
      <xdr:spPr>
        <a:xfrm>
          <a:off x="739140" y="640080"/>
          <a:ext cx="1226820" cy="914400"/>
        </a:xfrm>
        <a:prstGeom prst="rect">
          <a:avLst/>
        </a:prstGeom>
        <a:gradFill>
          <a:gsLst>
            <a:gs pos="600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rgbClr val="FF0000"/>
          </a:solidFill>
        </a:ln>
        <a:effectLst>
          <a:glow rad="101600">
            <a:schemeClr val="accent1">
              <a:satMod val="175000"/>
              <a:alpha val="40000"/>
            </a:schemeClr>
          </a:glow>
          <a:outerShdw blurRad="50800" dist="38100" dir="8100000" algn="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29A86F8B-1AB6-4230-A040-C175211D1879}" type="TxLink">
            <a:rPr lang="en-US" sz="1800" b="0" i="0" u="none" strike="noStrike">
              <a:ln>
                <a:solidFill>
                  <a:srgbClr val="FF0000"/>
                </a:solidFill>
              </a:ln>
              <a:solidFill>
                <a:schemeClr val="accent6"/>
              </a:solidFill>
              <a:latin typeface="+mj-lt"/>
              <a:cs typeface="Arial"/>
            </a:rPr>
            <a:pPr algn="ctr"/>
            <a:t>1,000</a:t>
          </a:fld>
          <a:endParaRPr lang="en-US" sz="1800">
            <a:ln>
              <a:solidFill>
                <a:srgbClr val="FF0000"/>
              </a:solidFill>
            </a:ln>
            <a:solidFill>
              <a:schemeClr val="accent6"/>
            </a:solidFill>
            <a:latin typeface="+mj-lt"/>
          </a:endParaRPr>
        </a:p>
      </xdr:txBody>
    </xdr:sp>
    <xdr:clientData/>
  </xdr:twoCellAnchor>
  <xdr:twoCellAnchor>
    <xdr:from>
      <xdr:col>2</xdr:col>
      <xdr:colOff>480060</xdr:colOff>
      <xdr:row>3</xdr:row>
      <xdr:rowOff>160020</xdr:rowOff>
    </xdr:from>
    <xdr:to>
      <xdr:col>4</xdr:col>
      <xdr:colOff>7620</xdr:colOff>
      <xdr:row>5</xdr:row>
      <xdr:rowOff>53340</xdr:rowOff>
    </xdr:to>
    <xdr:sp macro="" textlink="">
      <xdr:nvSpPr>
        <xdr:cNvPr id="3" name="TextBox 2">
          <a:extLst>
            <a:ext uri="{FF2B5EF4-FFF2-40B4-BE49-F238E27FC236}">
              <a16:creationId xmlns:a16="http://schemas.microsoft.com/office/drawing/2014/main" id="{22D52553-A557-4B45-B511-BE4A61AE8B88}"/>
            </a:ext>
          </a:extLst>
        </xdr:cNvPr>
        <xdr:cNvSpPr txBox="1"/>
      </xdr:nvSpPr>
      <xdr:spPr>
        <a:xfrm>
          <a:off x="944880" y="685800"/>
          <a:ext cx="868680" cy="243840"/>
        </a:xfrm>
        <a:prstGeom prst="rect">
          <a:avLst/>
        </a:prstGeom>
        <a:solidFill>
          <a:schemeClr val="accent6">
            <a:lumMod val="60000"/>
            <a:lumOff val="4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accent6">
                  <a:lumMod val="50000"/>
                </a:schemeClr>
              </a:solidFill>
            </a:rPr>
            <a:t>Calls</a:t>
          </a:r>
        </a:p>
      </xdr:txBody>
    </xdr:sp>
    <xdr:clientData/>
  </xdr:twoCellAnchor>
  <xdr:twoCellAnchor editAs="oneCell">
    <xdr:from>
      <xdr:col>2</xdr:col>
      <xdr:colOff>277988</xdr:colOff>
      <xdr:row>3</xdr:row>
      <xdr:rowOff>143635</xdr:rowOff>
    </xdr:from>
    <xdr:to>
      <xdr:col>2</xdr:col>
      <xdr:colOff>462836</xdr:colOff>
      <xdr:row>4</xdr:row>
      <xdr:rowOff>136779</xdr:rowOff>
    </xdr:to>
    <xdr:pic>
      <xdr:nvPicPr>
        <xdr:cNvPr id="4" name="Graphic 3" descr="Receiver with solid fill">
          <a:extLst>
            <a:ext uri="{FF2B5EF4-FFF2-40B4-BE49-F238E27FC236}">
              <a16:creationId xmlns:a16="http://schemas.microsoft.com/office/drawing/2014/main" id="{1CC43DBA-F9A6-4AAB-82D8-4FF999FC25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103063">
          <a:off x="742808" y="669415"/>
          <a:ext cx="184848" cy="168404"/>
        </a:xfrm>
        <a:prstGeom prst="rect">
          <a:avLst/>
        </a:prstGeom>
      </xdr:spPr>
    </xdr:pic>
    <xdr:clientData/>
  </xdr:twoCellAnchor>
  <xdr:twoCellAnchor>
    <xdr:from>
      <xdr:col>2</xdr:col>
      <xdr:colOff>640080</xdr:colOff>
      <xdr:row>7</xdr:row>
      <xdr:rowOff>137160</xdr:rowOff>
    </xdr:from>
    <xdr:to>
      <xdr:col>3</xdr:col>
      <xdr:colOff>548640</xdr:colOff>
      <xdr:row>8</xdr:row>
      <xdr:rowOff>152400</xdr:rowOff>
    </xdr:to>
    <xdr:sp macro="" textlink="pivots!A11">
      <xdr:nvSpPr>
        <xdr:cNvPr id="5" name="TextBox 4">
          <a:extLst>
            <a:ext uri="{FF2B5EF4-FFF2-40B4-BE49-F238E27FC236}">
              <a16:creationId xmlns:a16="http://schemas.microsoft.com/office/drawing/2014/main" id="{BACFBD58-6FDB-4A12-8211-9B93916004A0}"/>
            </a:ext>
          </a:extLst>
        </xdr:cNvPr>
        <xdr:cNvSpPr txBox="1"/>
      </xdr:nvSpPr>
      <xdr:spPr>
        <a:xfrm>
          <a:off x="1104900" y="1363980"/>
          <a:ext cx="5791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E0AEAFF-FCE8-48D7-86D4-C9917459E48B}" type="TxLink">
            <a:rPr lang="en-US" sz="1100" b="0" i="0" u="none" strike="noStrike">
              <a:solidFill>
                <a:srgbClr val="FF0000"/>
              </a:solidFill>
              <a:latin typeface="Arial"/>
              <a:cs typeface="Arial"/>
            </a:rPr>
            <a:pPr/>
            <a:t>200</a:t>
          </a:fld>
          <a:endParaRPr lang="en-IN" sz="1100">
            <a:solidFill>
              <a:srgbClr val="FF0000"/>
            </a:solidFill>
          </a:endParaRPr>
        </a:p>
      </xdr:txBody>
    </xdr:sp>
    <xdr:clientData/>
  </xdr:twoCellAnchor>
  <xdr:twoCellAnchor>
    <xdr:from>
      <xdr:col>2</xdr:col>
      <xdr:colOff>121920</xdr:colOff>
      <xdr:row>14</xdr:row>
      <xdr:rowOff>60960</xdr:rowOff>
    </xdr:from>
    <xdr:to>
      <xdr:col>4</xdr:col>
      <xdr:colOff>548640</xdr:colOff>
      <xdr:row>16</xdr:row>
      <xdr:rowOff>83820</xdr:rowOff>
    </xdr:to>
    <xdr:sp macro="" textlink="">
      <xdr:nvSpPr>
        <xdr:cNvPr id="7" name="TextBox 6">
          <a:extLst>
            <a:ext uri="{FF2B5EF4-FFF2-40B4-BE49-F238E27FC236}">
              <a16:creationId xmlns:a16="http://schemas.microsoft.com/office/drawing/2014/main" id="{004A5D51-4A0D-4868-A73E-C7A58E26DC90}"/>
            </a:ext>
          </a:extLst>
        </xdr:cNvPr>
        <xdr:cNvSpPr txBox="1"/>
      </xdr:nvSpPr>
      <xdr:spPr>
        <a:xfrm>
          <a:off x="586740" y="2514600"/>
          <a:ext cx="17678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6">
                  <a:lumMod val="50000"/>
                </a:schemeClr>
              </a:solidFill>
            </a:rPr>
            <a:t>      </a:t>
          </a:r>
        </a:p>
      </xdr:txBody>
    </xdr:sp>
    <xdr:clientData/>
  </xdr:twoCellAnchor>
  <xdr:twoCellAnchor>
    <xdr:from>
      <xdr:col>2</xdr:col>
      <xdr:colOff>487680</xdr:colOff>
      <xdr:row>13</xdr:row>
      <xdr:rowOff>160020</xdr:rowOff>
    </xdr:from>
    <xdr:to>
      <xdr:col>4</xdr:col>
      <xdr:colOff>495300</xdr:colOff>
      <xdr:row>15</xdr:row>
      <xdr:rowOff>38100</xdr:rowOff>
    </xdr:to>
    <xdr:sp macro="" textlink="pivots!A11">
      <xdr:nvSpPr>
        <xdr:cNvPr id="19" name="TextBox 18">
          <a:extLst>
            <a:ext uri="{FF2B5EF4-FFF2-40B4-BE49-F238E27FC236}">
              <a16:creationId xmlns:a16="http://schemas.microsoft.com/office/drawing/2014/main" id="{AA39E11E-93B8-4601-B14F-FEFE15C330CC}"/>
            </a:ext>
          </a:extLst>
        </xdr:cNvPr>
        <xdr:cNvSpPr txBox="1"/>
      </xdr:nvSpPr>
      <xdr:spPr>
        <a:xfrm>
          <a:off x="952500" y="2438400"/>
          <a:ext cx="13487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2</xdr:col>
      <xdr:colOff>274320</xdr:colOff>
      <xdr:row>9</xdr:row>
      <xdr:rowOff>53340</xdr:rowOff>
    </xdr:from>
    <xdr:to>
      <xdr:col>4</xdr:col>
      <xdr:colOff>160020</xdr:colOff>
      <xdr:row>14</xdr:row>
      <xdr:rowOff>91440</xdr:rowOff>
    </xdr:to>
    <xdr:sp macro="" textlink="pivots!B4">
      <xdr:nvSpPr>
        <xdr:cNvPr id="23" name="Rectangle 22">
          <a:extLst>
            <a:ext uri="{FF2B5EF4-FFF2-40B4-BE49-F238E27FC236}">
              <a16:creationId xmlns:a16="http://schemas.microsoft.com/office/drawing/2014/main" id="{ADF8B1C0-6B24-478C-A0FD-BA04A74926CD}"/>
            </a:ext>
          </a:extLst>
        </xdr:cNvPr>
        <xdr:cNvSpPr/>
      </xdr:nvSpPr>
      <xdr:spPr>
        <a:xfrm>
          <a:off x="739140" y="1630680"/>
          <a:ext cx="1226820" cy="914400"/>
        </a:xfrm>
        <a:prstGeom prst="rect">
          <a:avLst/>
        </a:prstGeom>
        <a:gradFill>
          <a:gsLst>
            <a:gs pos="600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rgbClr val="FF0000"/>
          </a:solidFill>
        </a:ln>
        <a:effectLst>
          <a:glow rad="101600">
            <a:schemeClr val="accent1">
              <a:satMod val="175000"/>
              <a:alpha val="40000"/>
            </a:schemeClr>
          </a:glow>
          <a:outerShdw blurRad="50800" dist="38100" dir="8100000" algn="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AB0C84BB-DBCF-4D56-9DD8-F645F6EF5B98}" type="TxLink">
            <a:rPr lang="en-US" sz="1800" b="0" i="0" u="none" strike="noStrike">
              <a:ln>
                <a:solidFill>
                  <a:srgbClr val="FF0000"/>
                </a:solidFill>
              </a:ln>
              <a:solidFill>
                <a:schemeClr val="accent6"/>
              </a:solidFill>
              <a:latin typeface="+mj-lt"/>
              <a:ea typeface="+mn-ea"/>
              <a:cs typeface="Arial"/>
            </a:rPr>
            <a:pPr marL="0" indent="0" algn="ctr"/>
            <a:t>₹ 96,623</a:t>
          </a:fld>
          <a:endParaRPr lang="en-US" sz="1800" b="0" i="0" u="none" strike="noStrike">
            <a:ln>
              <a:solidFill>
                <a:srgbClr val="FF0000"/>
              </a:solidFill>
            </a:ln>
            <a:solidFill>
              <a:schemeClr val="accent6"/>
            </a:solidFill>
            <a:latin typeface="+mj-lt"/>
            <a:ea typeface="+mn-ea"/>
            <a:cs typeface="Arial"/>
          </a:endParaRPr>
        </a:p>
      </xdr:txBody>
    </xdr:sp>
    <xdr:clientData/>
  </xdr:twoCellAnchor>
  <xdr:twoCellAnchor>
    <xdr:from>
      <xdr:col>2</xdr:col>
      <xdr:colOff>548640</xdr:colOff>
      <xdr:row>9</xdr:row>
      <xdr:rowOff>91440</xdr:rowOff>
    </xdr:from>
    <xdr:to>
      <xdr:col>4</xdr:col>
      <xdr:colOff>15240</xdr:colOff>
      <xdr:row>11</xdr:row>
      <xdr:rowOff>30480</xdr:rowOff>
    </xdr:to>
    <xdr:sp macro="" textlink="">
      <xdr:nvSpPr>
        <xdr:cNvPr id="24" name="TextBox 23">
          <a:extLst>
            <a:ext uri="{FF2B5EF4-FFF2-40B4-BE49-F238E27FC236}">
              <a16:creationId xmlns:a16="http://schemas.microsoft.com/office/drawing/2014/main" id="{63561144-47E9-4C10-8EF3-CE8CCDDDCCF0}"/>
            </a:ext>
          </a:extLst>
        </xdr:cNvPr>
        <xdr:cNvSpPr txBox="1"/>
      </xdr:nvSpPr>
      <xdr:spPr>
        <a:xfrm>
          <a:off x="1013460" y="1668780"/>
          <a:ext cx="807720" cy="289560"/>
        </a:xfrm>
        <a:prstGeom prst="rect">
          <a:avLst/>
        </a:prstGeom>
        <a:solidFill>
          <a:schemeClr val="accent6">
            <a:lumMod val="60000"/>
            <a:lumOff val="40000"/>
          </a:schemeClr>
        </a:solidFill>
        <a:ln w="9525" cmpd="sng">
          <a:solidFill>
            <a:schemeClr val="accent1">
              <a:lumMod val="40000"/>
              <a:lumOff val="60000"/>
            </a:schemeClr>
          </a:solid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accent6">
                  <a:lumMod val="50000"/>
                </a:schemeClr>
              </a:solidFill>
            </a:rPr>
            <a:t>Amount</a:t>
          </a:r>
        </a:p>
      </xdr:txBody>
    </xdr:sp>
    <xdr:clientData/>
  </xdr:twoCellAnchor>
  <xdr:twoCellAnchor>
    <xdr:from>
      <xdr:col>2</xdr:col>
      <xdr:colOff>518160</xdr:colOff>
      <xdr:row>13</xdr:row>
      <xdr:rowOff>0</xdr:rowOff>
    </xdr:from>
    <xdr:to>
      <xdr:col>4</xdr:col>
      <xdr:colOff>152400</xdr:colOff>
      <xdr:row>14</xdr:row>
      <xdr:rowOff>121920</xdr:rowOff>
    </xdr:to>
    <xdr:sp macro="" textlink="pivots!B11">
      <xdr:nvSpPr>
        <xdr:cNvPr id="26" name="TextBox 25">
          <a:extLst>
            <a:ext uri="{FF2B5EF4-FFF2-40B4-BE49-F238E27FC236}">
              <a16:creationId xmlns:a16="http://schemas.microsoft.com/office/drawing/2014/main" id="{BF95C183-C486-464E-83FE-C10525F8FE24}"/>
            </a:ext>
          </a:extLst>
        </xdr:cNvPr>
        <xdr:cNvSpPr txBox="1"/>
      </xdr:nvSpPr>
      <xdr:spPr>
        <a:xfrm>
          <a:off x="982980" y="2278380"/>
          <a:ext cx="9753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63BFEAC-4C3F-4BF5-9BC0-1A1E955A76A6}" type="TxLink">
            <a:rPr lang="en-US" sz="1100" b="0" i="0" u="none" strike="noStrike">
              <a:solidFill>
                <a:srgbClr val="FF0000"/>
              </a:solidFill>
              <a:latin typeface="Arial"/>
              <a:cs typeface="Arial"/>
            </a:rPr>
            <a:pPr/>
            <a:t>₹ 20,104</a:t>
          </a:fld>
          <a:endParaRPr lang="en-IN" sz="1100">
            <a:solidFill>
              <a:srgbClr val="FF0000"/>
            </a:solidFill>
          </a:endParaRPr>
        </a:p>
      </xdr:txBody>
    </xdr:sp>
    <xdr:clientData/>
  </xdr:twoCellAnchor>
  <xdr:twoCellAnchor>
    <xdr:from>
      <xdr:col>2</xdr:col>
      <xdr:colOff>274320</xdr:colOff>
      <xdr:row>14</xdr:row>
      <xdr:rowOff>167640</xdr:rowOff>
    </xdr:from>
    <xdr:to>
      <xdr:col>4</xdr:col>
      <xdr:colOff>160020</xdr:colOff>
      <xdr:row>20</xdr:row>
      <xdr:rowOff>38100</xdr:rowOff>
    </xdr:to>
    <xdr:sp macro="" textlink="pivots!C4">
      <xdr:nvSpPr>
        <xdr:cNvPr id="27" name="Rectangle 26">
          <a:extLst>
            <a:ext uri="{FF2B5EF4-FFF2-40B4-BE49-F238E27FC236}">
              <a16:creationId xmlns:a16="http://schemas.microsoft.com/office/drawing/2014/main" id="{71F7D267-C78E-43F5-B65A-934879C21960}"/>
            </a:ext>
          </a:extLst>
        </xdr:cNvPr>
        <xdr:cNvSpPr/>
      </xdr:nvSpPr>
      <xdr:spPr>
        <a:xfrm>
          <a:off x="739140" y="2621280"/>
          <a:ext cx="1226820" cy="922020"/>
        </a:xfrm>
        <a:prstGeom prst="rect">
          <a:avLst/>
        </a:prstGeom>
        <a:gradFill>
          <a:gsLst>
            <a:gs pos="600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rgbClr val="FF0000"/>
          </a:solidFill>
        </a:ln>
        <a:effectLst>
          <a:glow rad="101600">
            <a:schemeClr val="accent1">
              <a:satMod val="175000"/>
              <a:alpha val="40000"/>
            </a:schemeClr>
          </a:glow>
          <a:outerShdw blurRad="50800" dist="38100" dir="8100000" algn="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0C3FAB52-5DC4-493A-AC5D-51395419F87C}" type="TxLink">
            <a:rPr lang="en-US" sz="1800" b="0" i="0" u="none" strike="noStrike">
              <a:ln>
                <a:solidFill>
                  <a:srgbClr val="FF0000"/>
                </a:solidFill>
              </a:ln>
              <a:solidFill>
                <a:schemeClr val="accent6"/>
              </a:solidFill>
              <a:latin typeface="+mj-lt"/>
              <a:ea typeface="+mn-ea"/>
              <a:cs typeface="Arial"/>
            </a:rPr>
            <a:pPr marL="0" indent="0" algn="ctr"/>
            <a:t>89,850</a:t>
          </a:fld>
          <a:endParaRPr lang="en-US" sz="1800" b="0" i="0" u="none" strike="noStrike">
            <a:ln>
              <a:solidFill>
                <a:srgbClr val="FF0000"/>
              </a:solidFill>
            </a:ln>
            <a:solidFill>
              <a:schemeClr val="accent6"/>
            </a:solidFill>
            <a:latin typeface="+mj-lt"/>
            <a:ea typeface="+mn-ea"/>
            <a:cs typeface="Arial"/>
          </a:endParaRPr>
        </a:p>
      </xdr:txBody>
    </xdr:sp>
    <xdr:clientData/>
  </xdr:twoCellAnchor>
  <xdr:twoCellAnchor>
    <xdr:from>
      <xdr:col>2</xdr:col>
      <xdr:colOff>541020</xdr:colOff>
      <xdr:row>15</xdr:row>
      <xdr:rowOff>38100</xdr:rowOff>
    </xdr:from>
    <xdr:to>
      <xdr:col>3</xdr:col>
      <xdr:colOff>647700</xdr:colOff>
      <xdr:row>16</xdr:row>
      <xdr:rowOff>129540</xdr:rowOff>
    </xdr:to>
    <xdr:sp macro="" textlink="">
      <xdr:nvSpPr>
        <xdr:cNvPr id="28" name="TextBox 27">
          <a:extLst>
            <a:ext uri="{FF2B5EF4-FFF2-40B4-BE49-F238E27FC236}">
              <a16:creationId xmlns:a16="http://schemas.microsoft.com/office/drawing/2014/main" id="{5C4A56B1-65FE-46B6-9F7C-7924C3EFAFD4}"/>
            </a:ext>
          </a:extLst>
        </xdr:cNvPr>
        <xdr:cNvSpPr txBox="1"/>
      </xdr:nvSpPr>
      <xdr:spPr>
        <a:xfrm>
          <a:off x="1005840" y="2667000"/>
          <a:ext cx="777240" cy="266700"/>
        </a:xfrm>
        <a:prstGeom prst="rect">
          <a:avLst/>
        </a:prstGeom>
        <a:solidFill>
          <a:schemeClr val="accent6">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accent6">
                  <a:lumMod val="50000"/>
                </a:schemeClr>
              </a:solidFill>
            </a:rPr>
            <a:t>Duration</a:t>
          </a:r>
        </a:p>
      </xdr:txBody>
    </xdr:sp>
    <xdr:clientData/>
  </xdr:twoCellAnchor>
  <xdr:twoCellAnchor>
    <xdr:from>
      <xdr:col>2</xdr:col>
      <xdr:colOff>541020</xdr:colOff>
      <xdr:row>19</xdr:row>
      <xdr:rowOff>30480</xdr:rowOff>
    </xdr:from>
    <xdr:to>
      <xdr:col>4</xdr:col>
      <xdr:colOff>7620</xdr:colOff>
      <xdr:row>20</xdr:row>
      <xdr:rowOff>38100</xdr:rowOff>
    </xdr:to>
    <xdr:sp macro="" textlink="pivots!C11">
      <xdr:nvSpPr>
        <xdr:cNvPr id="30" name="TextBox 29">
          <a:extLst>
            <a:ext uri="{FF2B5EF4-FFF2-40B4-BE49-F238E27FC236}">
              <a16:creationId xmlns:a16="http://schemas.microsoft.com/office/drawing/2014/main" id="{6FFDE918-D396-4188-B296-1DE7ABD3F55C}"/>
            </a:ext>
          </a:extLst>
        </xdr:cNvPr>
        <xdr:cNvSpPr txBox="1"/>
      </xdr:nvSpPr>
      <xdr:spPr>
        <a:xfrm>
          <a:off x="1005840" y="3360420"/>
          <a:ext cx="8077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F0CB5C4-924E-4CCE-811B-B84EDB20CC73}" type="TxLink">
            <a:rPr lang="en-US" sz="1100" b="0" i="0" u="none" strike="noStrike">
              <a:solidFill>
                <a:srgbClr val="FF0000"/>
              </a:solidFill>
              <a:latin typeface="Arial"/>
              <a:cs typeface="Arial"/>
            </a:rPr>
            <a:pPr/>
            <a:t>18,209</a:t>
          </a:fld>
          <a:endParaRPr lang="en-IN" sz="1100">
            <a:solidFill>
              <a:srgbClr val="FF0000"/>
            </a:solidFill>
          </a:endParaRPr>
        </a:p>
      </xdr:txBody>
    </xdr:sp>
    <xdr:clientData/>
  </xdr:twoCellAnchor>
  <xdr:twoCellAnchor>
    <xdr:from>
      <xdr:col>2</xdr:col>
      <xdr:colOff>274320</xdr:colOff>
      <xdr:row>20</xdr:row>
      <xdr:rowOff>99060</xdr:rowOff>
    </xdr:from>
    <xdr:to>
      <xdr:col>4</xdr:col>
      <xdr:colOff>160020</xdr:colOff>
      <xdr:row>25</xdr:row>
      <xdr:rowOff>137160</xdr:rowOff>
    </xdr:to>
    <xdr:sp macro="" textlink="pivots!D4">
      <xdr:nvSpPr>
        <xdr:cNvPr id="31" name="Rectangle 30">
          <a:extLst>
            <a:ext uri="{FF2B5EF4-FFF2-40B4-BE49-F238E27FC236}">
              <a16:creationId xmlns:a16="http://schemas.microsoft.com/office/drawing/2014/main" id="{BF48B26D-F443-4DCD-81CD-8E395F4D9B1A}"/>
            </a:ext>
          </a:extLst>
        </xdr:cNvPr>
        <xdr:cNvSpPr/>
      </xdr:nvSpPr>
      <xdr:spPr>
        <a:xfrm>
          <a:off x="739140" y="3604260"/>
          <a:ext cx="1226820" cy="914400"/>
        </a:xfrm>
        <a:prstGeom prst="rect">
          <a:avLst/>
        </a:prstGeom>
        <a:gradFill>
          <a:gsLst>
            <a:gs pos="600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rgbClr val="FF0000"/>
          </a:solidFill>
        </a:ln>
        <a:effectLst>
          <a:glow rad="101600">
            <a:schemeClr val="accent1">
              <a:satMod val="175000"/>
              <a:alpha val="40000"/>
            </a:schemeClr>
          </a:glow>
          <a:outerShdw blurRad="50800" dist="38100" dir="8100000" algn="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930611EB-35FB-4A27-8CD4-E219EB1C6E3F}" type="TxLink">
            <a:rPr lang="en-US" sz="1800" b="0" i="0" u="none" strike="noStrike">
              <a:ln>
                <a:solidFill>
                  <a:srgbClr val="FF0000"/>
                </a:solidFill>
              </a:ln>
              <a:solidFill>
                <a:schemeClr val="accent6"/>
              </a:solidFill>
              <a:latin typeface="+mj-lt"/>
              <a:ea typeface="+mn-ea"/>
              <a:cs typeface="Arial"/>
            </a:rPr>
            <a:pPr marL="0" indent="0" algn="ctr"/>
            <a:t>3.9</a:t>
          </a:fld>
          <a:endParaRPr lang="en-US" sz="1800" b="0" i="0" u="none" strike="noStrike">
            <a:ln>
              <a:solidFill>
                <a:srgbClr val="FF0000"/>
              </a:solidFill>
            </a:ln>
            <a:solidFill>
              <a:schemeClr val="accent6"/>
            </a:solidFill>
            <a:latin typeface="+mj-lt"/>
            <a:ea typeface="+mn-ea"/>
            <a:cs typeface="Arial"/>
          </a:endParaRPr>
        </a:p>
      </xdr:txBody>
    </xdr:sp>
    <xdr:clientData/>
  </xdr:twoCellAnchor>
  <xdr:twoCellAnchor>
    <xdr:from>
      <xdr:col>2</xdr:col>
      <xdr:colOff>579120</xdr:colOff>
      <xdr:row>20</xdr:row>
      <xdr:rowOff>121920</xdr:rowOff>
    </xdr:from>
    <xdr:to>
      <xdr:col>3</xdr:col>
      <xdr:colOff>640080</xdr:colOff>
      <xdr:row>22</xdr:row>
      <xdr:rowOff>22860</xdr:rowOff>
    </xdr:to>
    <xdr:sp macro="" textlink="">
      <xdr:nvSpPr>
        <xdr:cNvPr id="32" name="TextBox 31">
          <a:extLst>
            <a:ext uri="{FF2B5EF4-FFF2-40B4-BE49-F238E27FC236}">
              <a16:creationId xmlns:a16="http://schemas.microsoft.com/office/drawing/2014/main" id="{A6046548-420A-4CCD-88E0-2154382C816D}"/>
            </a:ext>
          </a:extLst>
        </xdr:cNvPr>
        <xdr:cNvSpPr txBox="1"/>
      </xdr:nvSpPr>
      <xdr:spPr>
        <a:xfrm>
          <a:off x="1043940" y="3627120"/>
          <a:ext cx="731520" cy="251460"/>
        </a:xfrm>
        <a:prstGeom prst="rect">
          <a:avLst/>
        </a:prstGeom>
        <a:solidFill>
          <a:schemeClr val="accent6">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1050">
              <a:solidFill>
                <a:schemeClr val="accent6">
                  <a:lumMod val="50000"/>
                </a:schemeClr>
              </a:solidFill>
            </a:rPr>
            <a:t>A-Rating</a:t>
          </a:r>
        </a:p>
      </xdr:txBody>
    </xdr:sp>
    <xdr:clientData/>
  </xdr:twoCellAnchor>
  <xdr:twoCellAnchor>
    <xdr:from>
      <xdr:col>3</xdr:col>
      <xdr:colOff>30480</xdr:colOff>
      <xdr:row>24</xdr:row>
      <xdr:rowOff>106680</xdr:rowOff>
    </xdr:from>
    <xdr:to>
      <xdr:col>3</xdr:col>
      <xdr:colOff>655320</xdr:colOff>
      <xdr:row>25</xdr:row>
      <xdr:rowOff>152400</xdr:rowOff>
    </xdr:to>
    <xdr:sp macro="" textlink="pivots!D4">
      <xdr:nvSpPr>
        <xdr:cNvPr id="34" name="TextBox 33">
          <a:extLst>
            <a:ext uri="{FF2B5EF4-FFF2-40B4-BE49-F238E27FC236}">
              <a16:creationId xmlns:a16="http://schemas.microsoft.com/office/drawing/2014/main" id="{CB63AD0F-3E3F-40EC-AAC5-F403DD98144D}"/>
            </a:ext>
          </a:extLst>
        </xdr:cNvPr>
        <xdr:cNvSpPr txBox="1"/>
      </xdr:nvSpPr>
      <xdr:spPr>
        <a:xfrm>
          <a:off x="1165860" y="4312920"/>
          <a:ext cx="624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C4B09C-7418-43D1-9266-54E4D76922D3}" type="TxLink">
            <a:rPr lang="en-US" sz="1100" b="0" i="0" u="none" strike="noStrike">
              <a:solidFill>
                <a:srgbClr val="FF0000"/>
              </a:solidFill>
              <a:latin typeface="Arial"/>
              <a:cs typeface="Arial"/>
            </a:rPr>
            <a:pPr/>
            <a:t>3.9</a:t>
          </a:fld>
          <a:endParaRPr lang="en-IN" sz="1100">
            <a:solidFill>
              <a:srgbClr val="FF0000"/>
            </a:solidFill>
          </a:endParaRPr>
        </a:p>
      </xdr:txBody>
    </xdr:sp>
    <xdr:clientData/>
  </xdr:twoCellAnchor>
  <xdr:twoCellAnchor>
    <xdr:from>
      <xdr:col>2</xdr:col>
      <xdr:colOff>274320</xdr:colOff>
      <xdr:row>26</xdr:row>
      <xdr:rowOff>68580</xdr:rowOff>
    </xdr:from>
    <xdr:to>
      <xdr:col>4</xdr:col>
      <xdr:colOff>160020</xdr:colOff>
      <xdr:row>31</xdr:row>
      <xdr:rowOff>106680</xdr:rowOff>
    </xdr:to>
    <xdr:sp macro="" textlink="pivots!E4">
      <xdr:nvSpPr>
        <xdr:cNvPr id="35" name="Rectangle 34">
          <a:extLst>
            <a:ext uri="{FF2B5EF4-FFF2-40B4-BE49-F238E27FC236}">
              <a16:creationId xmlns:a16="http://schemas.microsoft.com/office/drawing/2014/main" id="{2AD6317F-871E-4A6B-BC87-691ADFEA0CE0}"/>
            </a:ext>
          </a:extLst>
        </xdr:cNvPr>
        <xdr:cNvSpPr/>
      </xdr:nvSpPr>
      <xdr:spPr>
        <a:xfrm>
          <a:off x="739140" y="4625340"/>
          <a:ext cx="1226820" cy="914400"/>
        </a:xfrm>
        <a:prstGeom prst="rect">
          <a:avLst/>
        </a:prstGeom>
        <a:gradFill>
          <a:gsLst>
            <a:gs pos="600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2225">
          <a:solidFill>
            <a:srgbClr val="FF0000"/>
          </a:solidFill>
        </a:ln>
        <a:effectLst>
          <a:glow rad="101600">
            <a:schemeClr val="accent1">
              <a:satMod val="175000"/>
              <a:alpha val="40000"/>
            </a:schemeClr>
          </a:glow>
          <a:outerShdw blurRad="50800" dist="38100" dir="8100000" algn="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fld id="{8B646F0A-AF3D-4ADB-BB1F-69BB3C06E664}" type="TxLink">
            <a:rPr lang="en-US" sz="1800" b="0" i="0" u="none" strike="noStrike">
              <a:ln>
                <a:solidFill>
                  <a:srgbClr val="FF0000"/>
                </a:solidFill>
              </a:ln>
              <a:solidFill>
                <a:schemeClr val="accent6"/>
              </a:solidFill>
              <a:latin typeface="+mj-lt"/>
              <a:ea typeface="+mn-ea"/>
              <a:cs typeface="Arial"/>
            </a:rPr>
            <a:pPr marL="0" indent="0" algn="ctr"/>
            <a:t>307</a:t>
          </a:fld>
          <a:endParaRPr lang="en-US" sz="1800" b="0" i="0" u="none" strike="noStrike">
            <a:ln>
              <a:solidFill>
                <a:srgbClr val="FF0000"/>
              </a:solidFill>
            </a:ln>
            <a:solidFill>
              <a:schemeClr val="accent6"/>
            </a:solidFill>
            <a:latin typeface="+mj-lt"/>
            <a:ea typeface="+mn-ea"/>
            <a:cs typeface="Arial"/>
          </a:endParaRPr>
        </a:p>
      </xdr:txBody>
    </xdr:sp>
    <xdr:clientData/>
  </xdr:twoCellAnchor>
  <xdr:twoCellAnchor>
    <xdr:from>
      <xdr:col>2</xdr:col>
      <xdr:colOff>655320</xdr:colOff>
      <xdr:row>26</xdr:row>
      <xdr:rowOff>91440</xdr:rowOff>
    </xdr:from>
    <xdr:to>
      <xdr:col>3</xdr:col>
      <xdr:colOff>502920</xdr:colOff>
      <xdr:row>27</xdr:row>
      <xdr:rowOff>167640</xdr:rowOff>
    </xdr:to>
    <xdr:sp macro="" textlink="">
      <xdr:nvSpPr>
        <xdr:cNvPr id="36" name="TextBox 35">
          <a:extLst>
            <a:ext uri="{FF2B5EF4-FFF2-40B4-BE49-F238E27FC236}">
              <a16:creationId xmlns:a16="http://schemas.microsoft.com/office/drawing/2014/main" id="{4589B7D4-9DB1-4255-9AAC-C346A168EF4E}"/>
            </a:ext>
          </a:extLst>
        </xdr:cNvPr>
        <xdr:cNvSpPr txBox="1"/>
      </xdr:nvSpPr>
      <xdr:spPr>
        <a:xfrm>
          <a:off x="1120140" y="4648200"/>
          <a:ext cx="518160" cy="251460"/>
        </a:xfrm>
        <a:prstGeom prst="rect">
          <a:avLst/>
        </a:prstGeom>
        <a:solidFill>
          <a:schemeClr val="accent6">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accent6">
                  <a:lumMod val="50000"/>
                </a:schemeClr>
              </a:solidFill>
            </a:rPr>
            <a:t>5*</a:t>
          </a:r>
          <a:r>
            <a:rPr lang="en-IN" sz="1050" baseline="0">
              <a:solidFill>
                <a:schemeClr val="accent6">
                  <a:lumMod val="50000"/>
                </a:schemeClr>
              </a:solidFill>
            </a:rPr>
            <a:t> Rating</a:t>
          </a:r>
          <a:endParaRPr lang="en-IN" sz="1050">
            <a:solidFill>
              <a:schemeClr val="accent6">
                <a:lumMod val="50000"/>
              </a:schemeClr>
            </a:solidFill>
          </a:endParaRPr>
        </a:p>
      </xdr:txBody>
    </xdr:sp>
    <xdr:clientData/>
  </xdr:twoCellAnchor>
  <xdr:twoCellAnchor>
    <xdr:from>
      <xdr:col>3</xdr:col>
      <xdr:colOff>30480</xdr:colOff>
      <xdr:row>30</xdr:row>
      <xdr:rowOff>83820</xdr:rowOff>
    </xdr:from>
    <xdr:to>
      <xdr:col>3</xdr:col>
      <xdr:colOff>396240</xdr:colOff>
      <xdr:row>31</xdr:row>
      <xdr:rowOff>106680</xdr:rowOff>
    </xdr:to>
    <xdr:sp macro="" textlink="pivots!E11">
      <xdr:nvSpPr>
        <xdr:cNvPr id="38" name="TextBox 37">
          <a:extLst>
            <a:ext uri="{FF2B5EF4-FFF2-40B4-BE49-F238E27FC236}">
              <a16:creationId xmlns:a16="http://schemas.microsoft.com/office/drawing/2014/main" id="{60CCA547-6F67-4470-9A6A-AD27D1260281}"/>
            </a:ext>
          </a:extLst>
        </xdr:cNvPr>
        <xdr:cNvSpPr txBox="1"/>
      </xdr:nvSpPr>
      <xdr:spPr>
        <a:xfrm>
          <a:off x="1165860" y="5341620"/>
          <a:ext cx="3657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1315076-785E-403E-B4F1-99BFE7FA6FF7}" type="TxLink">
            <a:rPr lang="en-US" sz="1100" b="0" i="0" u="none" strike="noStrike">
              <a:solidFill>
                <a:srgbClr val="FF0000"/>
              </a:solidFill>
              <a:latin typeface="Arial"/>
              <a:cs typeface="Arial"/>
            </a:rPr>
            <a:pPr/>
            <a:t>51</a:t>
          </a:fld>
          <a:endParaRPr lang="en-IN" sz="1100">
            <a:solidFill>
              <a:srgbClr val="FF0000"/>
            </a:solidFill>
          </a:endParaRPr>
        </a:p>
      </xdr:txBody>
    </xdr:sp>
    <xdr:clientData/>
  </xdr:twoCellAnchor>
  <xdr:twoCellAnchor editAs="oneCell">
    <xdr:from>
      <xdr:col>2</xdr:col>
      <xdr:colOff>289560</xdr:colOff>
      <xdr:row>15</xdr:row>
      <xdr:rowOff>30481</xdr:rowOff>
    </xdr:from>
    <xdr:to>
      <xdr:col>2</xdr:col>
      <xdr:colOff>472440</xdr:colOff>
      <xdr:row>16</xdr:row>
      <xdr:rowOff>38841</xdr:rowOff>
    </xdr:to>
    <xdr:pic>
      <xdr:nvPicPr>
        <xdr:cNvPr id="43" name="Graphic 42" descr="Hourglass Finished with solid fill">
          <a:extLst>
            <a:ext uri="{FF2B5EF4-FFF2-40B4-BE49-F238E27FC236}">
              <a16:creationId xmlns:a16="http://schemas.microsoft.com/office/drawing/2014/main" id="{F03C0B29-18B8-48BF-AA83-C64DEB08D9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4380" y="2659381"/>
          <a:ext cx="182880" cy="183620"/>
        </a:xfrm>
        <a:prstGeom prst="rect">
          <a:avLst/>
        </a:prstGeom>
      </xdr:spPr>
    </xdr:pic>
    <xdr:clientData/>
  </xdr:twoCellAnchor>
  <xdr:twoCellAnchor editAs="oneCell">
    <xdr:from>
      <xdr:col>2</xdr:col>
      <xdr:colOff>281940</xdr:colOff>
      <xdr:row>9</xdr:row>
      <xdr:rowOff>76201</xdr:rowOff>
    </xdr:from>
    <xdr:to>
      <xdr:col>2</xdr:col>
      <xdr:colOff>519362</xdr:colOff>
      <xdr:row>10</xdr:row>
      <xdr:rowOff>106681</xdr:rowOff>
    </xdr:to>
    <xdr:pic>
      <xdr:nvPicPr>
        <xdr:cNvPr id="44" name="Graphic 43" descr="Shopping cart with solid fill">
          <a:extLst>
            <a:ext uri="{FF2B5EF4-FFF2-40B4-BE49-F238E27FC236}">
              <a16:creationId xmlns:a16="http://schemas.microsoft.com/office/drawing/2014/main" id="{725D31C4-FADF-40FF-A3D0-318E04EF73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6760" y="1653541"/>
          <a:ext cx="237422" cy="205740"/>
        </a:xfrm>
        <a:prstGeom prst="rect">
          <a:avLst/>
        </a:prstGeom>
      </xdr:spPr>
    </xdr:pic>
    <xdr:clientData/>
  </xdr:twoCellAnchor>
  <xdr:twoCellAnchor editAs="oneCell">
    <xdr:from>
      <xdr:col>2</xdr:col>
      <xdr:colOff>304800</xdr:colOff>
      <xdr:row>20</xdr:row>
      <xdr:rowOff>106681</xdr:rowOff>
    </xdr:from>
    <xdr:to>
      <xdr:col>2</xdr:col>
      <xdr:colOff>530531</xdr:colOff>
      <xdr:row>21</xdr:row>
      <xdr:rowOff>137160</xdr:rowOff>
    </xdr:to>
    <xdr:pic>
      <xdr:nvPicPr>
        <xdr:cNvPr id="45" name="Graphic 44" descr="Rating Star with solid fill">
          <a:extLst>
            <a:ext uri="{FF2B5EF4-FFF2-40B4-BE49-F238E27FC236}">
              <a16:creationId xmlns:a16="http://schemas.microsoft.com/office/drawing/2014/main" id="{138666EB-47C6-438E-845E-D43074952F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69620" y="3611881"/>
          <a:ext cx="225731" cy="205739"/>
        </a:xfrm>
        <a:prstGeom prst="rect">
          <a:avLst/>
        </a:prstGeom>
      </xdr:spPr>
    </xdr:pic>
    <xdr:clientData/>
  </xdr:twoCellAnchor>
  <xdr:twoCellAnchor editAs="oneCell">
    <xdr:from>
      <xdr:col>2</xdr:col>
      <xdr:colOff>297180</xdr:colOff>
      <xdr:row>26</xdr:row>
      <xdr:rowOff>106680</xdr:rowOff>
    </xdr:from>
    <xdr:to>
      <xdr:col>2</xdr:col>
      <xdr:colOff>548640</xdr:colOff>
      <xdr:row>27</xdr:row>
      <xdr:rowOff>160509</xdr:rowOff>
    </xdr:to>
    <xdr:pic>
      <xdr:nvPicPr>
        <xdr:cNvPr id="46" name="Graphic 45" descr="Star-struck face outline with solid fill">
          <a:extLst>
            <a:ext uri="{FF2B5EF4-FFF2-40B4-BE49-F238E27FC236}">
              <a16:creationId xmlns:a16="http://schemas.microsoft.com/office/drawing/2014/main" id="{987C633A-999E-40E1-9DD4-9854C98636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2000" y="4663440"/>
          <a:ext cx="251460" cy="229089"/>
        </a:xfrm>
        <a:prstGeom prst="rect">
          <a:avLst/>
        </a:prstGeom>
      </xdr:spPr>
    </xdr:pic>
    <xdr:clientData/>
  </xdr:twoCellAnchor>
  <xdr:twoCellAnchor editAs="oneCell">
    <xdr:from>
      <xdr:col>2</xdr:col>
      <xdr:colOff>182880</xdr:colOff>
      <xdr:row>0</xdr:row>
      <xdr:rowOff>52252</xdr:rowOff>
    </xdr:from>
    <xdr:to>
      <xdr:col>23</xdr:col>
      <xdr:colOff>538480</xdr:colOff>
      <xdr:row>3</xdr:row>
      <xdr:rowOff>152401</xdr:rowOff>
    </xdr:to>
    <mc:AlternateContent xmlns:mc="http://schemas.openxmlformats.org/markup-compatibility/2006" xmlns:a14="http://schemas.microsoft.com/office/drawing/2010/main">
      <mc:Choice Requires="a14">
        <xdr:graphicFrame macro="">
          <xdr:nvGraphicFramePr>
            <xdr:cNvPr id="47" name="Representative">
              <a:extLst>
                <a:ext uri="{FF2B5EF4-FFF2-40B4-BE49-F238E27FC236}">
                  <a16:creationId xmlns:a16="http://schemas.microsoft.com/office/drawing/2014/main" id="{3D1B0D0B-A7E8-4826-B17D-219BBE6A296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50240" y="52252"/>
              <a:ext cx="14437360" cy="618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274320</xdr:colOff>
      <xdr:row>3</xdr:row>
      <xdr:rowOff>142240</xdr:rowOff>
    </xdr:from>
    <xdr:to>
      <xdr:col>9</xdr:col>
      <xdr:colOff>264160</xdr:colOff>
      <xdr:row>18</xdr:row>
      <xdr:rowOff>101600</xdr:rowOff>
    </xdr:to>
    <xdr:graphicFrame macro="">
      <xdr:nvGraphicFramePr>
        <xdr:cNvPr id="48" name="Chart 47">
          <a:extLst>
            <a:ext uri="{FF2B5EF4-FFF2-40B4-BE49-F238E27FC236}">
              <a16:creationId xmlns:a16="http://schemas.microsoft.com/office/drawing/2014/main" id="{BCA85CD3-5DF4-484B-ACD6-FA9C37545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289560</xdr:colOff>
      <xdr:row>3</xdr:row>
      <xdr:rowOff>129540</xdr:rowOff>
    </xdr:from>
    <xdr:to>
      <xdr:col>13</xdr:col>
      <xdr:colOff>660400</xdr:colOff>
      <xdr:row>18</xdr:row>
      <xdr:rowOff>101600</xdr:rowOff>
    </xdr:to>
    <xdr:graphicFrame macro="">
      <xdr:nvGraphicFramePr>
        <xdr:cNvPr id="49" name="Chart 48">
          <a:extLst>
            <a:ext uri="{FF2B5EF4-FFF2-40B4-BE49-F238E27FC236}">
              <a16:creationId xmlns:a16="http://schemas.microsoft.com/office/drawing/2014/main" id="{5BC894E0-C7F7-4BD9-B216-AB9BEDB92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640080</xdr:colOff>
      <xdr:row>3</xdr:row>
      <xdr:rowOff>134620</xdr:rowOff>
    </xdr:from>
    <xdr:to>
      <xdr:col>17</xdr:col>
      <xdr:colOff>6350</xdr:colOff>
      <xdr:row>18</xdr:row>
      <xdr:rowOff>111760</xdr:rowOff>
    </xdr:to>
    <xdr:graphicFrame macro="">
      <xdr:nvGraphicFramePr>
        <xdr:cNvPr id="50" name="Chart 49">
          <a:extLst>
            <a:ext uri="{FF2B5EF4-FFF2-40B4-BE49-F238E27FC236}">
              <a16:creationId xmlns:a16="http://schemas.microsoft.com/office/drawing/2014/main" id="{B12B7EAB-9C68-4861-B1F7-C51737629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396240</xdr:colOff>
      <xdr:row>18</xdr:row>
      <xdr:rowOff>101600</xdr:rowOff>
    </xdr:from>
    <xdr:to>
      <xdr:col>16</xdr:col>
      <xdr:colOff>660400</xdr:colOff>
      <xdr:row>32</xdr:row>
      <xdr:rowOff>111760</xdr:rowOff>
    </xdr:to>
    <xdr:graphicFrame macro="">
      <xdr:nvGraphicFramePr>
        <xdr:cNvPr id="51" name="Chart 50">
          <a:extLst>
            <a:ext uri="{FF2B5EF4-FFF2-40B4-BE49-F238E27FC236}">
              <a16:creationId xmlns:a16="http://schemas.microsoft.com/office/drawing/2014/main" id="{22F4BD02-BE66-4D23-8B9E-6A2B12ED6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246380</xdr:colOff>
      <xdr:row>18</xdr:row>
      <xdr:rowOff>109220</xdr:rowOff>
    </xdr:from>
    <xdr:to>
      <xdr:col>10</xdr:col>
      <xdr:colOff>386080</xdr:colOff>
      <xdr:row>32</xdr:row>
      <xdr:rowOff>81280</xdr:rowOff>
    </xdr:to>
    <xdr:graphicFrame macro="">
      <xdr:nvGraphicFramePr>
        <xdr:cNvPr id="52" name="Chart 51">
          <a:extLst>
            <a:ext uri="{FF2B5EF4-FFF2-40B4-BE49-F238E27FC236}">
              <a16:creationId xmlns:a16="http://schemas.microsoft.com/office/drawing/2014/main" id="{B119C70D-F7EE-4D3C-9942-371893B2C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31932</xdr:colOff>
      <xdr:row>3</xdr:row>
      <xdr:rowOff>127726</xdr:rowOff>
    </xdr:from>
    <xdr:to>
      <xdr:col>23</xdr:col>
      <xdr:colOff>554446</xdr:colOff>
      <xdr:row>32</xdr:row>
      <xdr:rowOff>127725</xdr:rowOff>
    </xdr:to>
    <xdr:graphicFrame macro="">
      <xdr:nvGraphicFramePr>
        <xdr:cNvPr id="53" name="Chart 52">
          <a:extLst>
            <a:ext uri="{FF2B5EF4-FFF2-40B4-BE49-F238E27FC236}">
              <a16:creationId xmlns:a16="http://schemas.microsoft.com/office/drawing/2014/main" id="{766A035C-F4C3-4B78-8E8B-DBEF46D42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317553</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156630</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186690</xdr:colOff>
      <xdr:row>42</xdr:row>
      <xdr:rowOff>99060</xdr:rowOff>
    </xdr:from>
    <xdr:to>
      <xdr:col>8</xdr:col>
      <xdr:colOff>327660</xdr:colOff>
      <xdr:row>43</xdr:row>
      <xdr:rowOff>19050</xdr:rowOff>
    </xdr:to>
    <xdr:graphicFrame macro="">
      <xdr:nvGraphicFramePr>
        <xdr:cNvPr id="6" name="Chart 5">
          <a:extLst>
            <a:ext uri="{FF2B5EF4-FFF2-40B4-BE49-F238E27FC236}">
              <a16:creationId xmlns:a16="http://schemas.microsoft.com/office/drawing/2014/main" id="{C7ADE769-A4A4-40D0-91AC-53E8C4635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7.760195370371" backgroundQuery="1" createdVersion="7" refreshedVersion="7" minRefreshableVersion="3" recordCount="0" supportSubquery="1" supportAdvancedDrill="1" xr:uid="{89EC6103-5FC6-4996-86BC-D82D5CB98237}">
  <cacheSource type="external" connectionId="1"/>
  <cacheFields count="5">
    <cacheField name="[Measures].[Call Count]" caption="Call Count" numFmtId="0" hierarchy="17" level="32767"/>
    <cacheField name="[Measures].[Amount]" caption="Amount" numFmtId="0" hierarchy="18" level="32767"/>
    <cacheField name="[Measures].[Total Duration]" caption="Total Duration" numFmtId="0" hierarchy="19" level="32767"/>
    <cacheField name="[Measures].[Avg-rating]" caption="Avg-rating" numFmtId="0" hierarchy="20" level="32767"/>
    <cacheField name="[Measures].[5 Star]" caption="5 Star" numFmtId="0" hierarchy="21"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Amount]" caption="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Star]" caption="5 Star"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1736111" backgroundQuery="1" createdVersion="7" refreshedVersion="7" minRefreshableVersion="3" recordCount="0" supportSubquery="1" supportAdvancedDrill="1" xr:uid="{BE365F5B-6004-4641-BE35-0C251C49436F}">
  <cacheSource type="external" connectionId="1"/>
  <cacheFields count="6">
    <cacheField name="[Measures].[Call Count]" caption="Call Count" numFmtId="0" hierarchy="17" level="32767"/>
    <cacheField name="[Measures].[Amount]" caption="Amount" numFmtId="0" hierarchy="18" level="32767"/>
    <cacheField name="[Measures].[Total Duration]" caption="Total Duration" numFmtId="0" hierarchy="19" level="32767"/>
    <cacheField name="[Measures].[Avg-rating]" caption="Avg-rating" numFmtId="0" hierarchy="20" level="32767"/>
    <cacheField name="[Measures].[5 Star]" caption="5 Star" numFmtId="0" hierarchy="21"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Amount]" caption="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Star]" caption="5 Star"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2199072" backgroundQuery="1" createdVersion="7" refreshedVersion="7" minRefreshableVersion="3" recordCount="0" supportSubquery="1" supportAdvancedDrill="1" xr:uid="{DF33421F-EC48-4B08-BE4E-859E9D9F777C}">
  <cacheSource type="external" connectionId="1"/>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31" level="32767">
      <extLst>
        <ext xmlns:x14="http://schemas.microsoft.com/office/spreadsheetml/2009/9/main" uri="{63CAB8AC-B538-458d-9737-405883B0398D}">
          <x14:cacheField ignore="1"/>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2662034" backgroundQuery="1" createdVersion="7" refreshedVersion="7" minRefreshableVersion="3" recordCount="0" supportSubquery="1" supportAdvancedDrill="1" xr:uid="{41B5DB98-B265-449A-B073-C469B1ADA5F7}">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3009258" backgroundQuery="1" createdVersion="7" refreshedVersion="7" minRefreshableVersion="3" recordCount="0" supportSubquery="1" supportAdvancedDrill="1" xr:uid="{8EF9D40F-7574-48A4-91D4-E3960A1BEBE9}">
  <cacheSource type="external" connectionId="1"/>
  <cacheFields count="3">
    <cacheField name="[calls].[Representative].[Representative]" caption="Representative" numFmtId="0" hierarchy="3" level="1">
      <sharedItems containsSemiMixedTypes="0" containsNonDate="0" containsString="0"/>
    </cacheField>
    <cacheField name="[customers].[Gedner].[Gedner]" caption="Gedner" numFmtId="0" hierarchy="13" level="1">
      <sharedItems count="2">
        <s v="Female"/>
        <s v="Male"/>
      </sharedItems>
    </cacheField>
    <cacheField name="[Measures].[Call Count]" caption="Call Count" numFmtId="0" hierarchy="17"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3472219" backgroundQuery="1" createdVersion="7" refreshedVersion="7" minRefreshableVersion="3" recordCount="0" supportSubquery="1" supportAdvancedDrill="1" xr:uid="{63CC5DFA-C08D-4B25-82FE-A27841B32AC0}">
  <cacheSource type="external" connectionId="1"/>
  <cacheFields count="3">
    <cacheField name="[calls].[Representative].[Representative]" caption="Representative" numFmtId="0" hierarchy="3" level="1">
      <sharedItems count="1">
        <s v="R05"/>
      </sharedItems>
    </cacheField>
    <cacheField name="[Measures].[Call Count]" caption="Call Count" numFmtId="0" hierarchy="17" level="32767"/>
    <cacheField name="[Measures].[Amount]" caption="Amount" numFmtId="0" hierarchy="1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Amount]" caption="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3819443" backgroundQuery="1" createdVersion="7" refreshedVersion="7" minRefreshableVersion="3" recordCount="0" supportSubquery="1" supportAdvancedDrill="1" xr:uid="{E1B06674-0436-4318-BB4B-37ABF3306152}">
  <cacheSource type="external" connectionId="1"/>
  <cacheFields count="5">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Delhi"/>
        <s v="Mumbai"/>
        <s v="Pune"/>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8.606654166666" backgroundQuery="1" createdVersion="7" refreshedVersion="7" minRefreshableVersion="3" recordCount="0" supportSubquery="1" supportAdvancedDrill="1" xr:uid="{D2FB8559-E8BE-4BC2-90F6-9ACA8E7B1124}">
  <cacheSource type="external" connectionId="1"/>
  <cacheFields count="3">
    <cacheField name="[calls].[Representative].[Representative]" caption="Representative" numFmtId="0" hierarchy="3" level="1">
      <sharedItems count="1">
        <s v="R05"/>
      </sharedItems>
    </cacheField>
    <cacheField name="[calls].[Day of week].[Day of week]" caption="Day of week" numFmtId="0" hierarchy="8" level="1">
      <sharedItems count="7">
        <s v="Friday"/>
        <s v="Monday"/>
        <s v="Saturday"/>
        <s v="Sunday"/>
        <s v="Thursday"/>
        <s v="Tuesday"/>
        <s v="Wednesday"/>
      </sharedItems>
    </cacheField>
    <cacheField name="[Measures].[Sum of Age]" caption="Sum of Age" numFmtId="0" hierarchy="30"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Amount]" caption="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Patel" refreshedDate="46217.760191550929" backgroundQuery="1" createdVersion="3" refreshedVersion="7" minRefreshableVersion="3" recordCount="0" supportSubquery="1" supportAdvancedDrill="1" xr:uid="{EF5D9611-687E-495D-851E-C194389BC9B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Amount]" caption="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Star]" caption="5 Sta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1609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0F760-16F7-454B-8083-73B2BAA20FF3}" name="weekly trend"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9">
  <location ref="G14:H2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1" count="1" selected="0">
            <x v="4"/>
          </reference>
        </references>
      </pivotArea>
    </chartFormat>
  </chartFormats>
  <pivotHierarchies count="3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3885CE-1881-43EB-9247-F87199C9D567}" name="monthly trend"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A14:C27"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40A229-7777-4F69-98AB-D76CD4C54664}" name="Rep Pivot"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FD56A-DDCE-4965-9410-65A1CC45F6B4}" name="PivotTable11"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9">
  <location ref="G29:I31" firstHeaderRow="1" firstDataRow="2" firstDataCol="1"/>
  <pivotFields count="3">
    <pivotField axis="axisCol" allDrilled="1" subtotalTop="0" showAll="0" dataSourceSort="1" defaultSubtotal="0" defaultAttributeDrillState="1">
      <items count="1">
        <item s="1" x="0"/>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s>
  <rowItems count="1">
    <i/>
  </rowItems>
  <colFields count="1">
    <field x="0"/>
  </colFields>
  <colItems count="2">
    <i>
      <x/>
    </i>
    <i t="grand">
      <x/>
    </i>
  </colItems>
  <dataFields count="1">
    <dataField name="Sum of Age" fld="2"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688D5-8E70-4CF4-8585-EA75C3738072}" name="PivotTable10"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3">
  <location ref="J25:M30" firstHeaderRow="1" firstDataRow="2" firstDataCol="1"/>
  <pivotFields count="5">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2"/>
  </rowFields>
  <rowItems count="4">
    <i>
      <x/>
    </i>
    <i>
      <x v="1"/>
    </i>
    <i>
      <x v="2"/>
    </i>
    <i t="grand">
      <x/>
    </i>
  </rowItems>
  <colFields count="1">
    <field x="4"/>
  </colFields>
  <colItems count="3">
    <i>
      <x/>
    </i>
    <i>
      <x v="1"/>
    </i>
    <i t="grand">
      <x/>
    </i>
  </colItems>
  <dataFields count="1">
    <dataField fld="3" subtotal="count" baseField="0" baseItem="0"/>
  </dataFields>
  <chartFormats count="2">
    <chartFormat chart="52" format="4" series="1">
      <pivotArea type="data" outline="0" fieldPosition="0">
        <references count="2">
          <reference field="4294967294" count="1" selected="0">
            <x v="0"/>
          </reference>
          <reference field="4" count="1" selected="0">
            <x v="0"/>
          </reference>
        </references>
      </pivotArea>
    </chartFormat>
    <chartFormat chart="52" format="5" series="1">
      <pivotArea type="data" outline="0" fieldPosition="0">
        <references count="2">
          <reference field="4294967294" count="1" selected="0">
            <x v="0"/>
          </reference>
          <reference field="4" count="1" selected="0">
            <x v="1"/>
          </reference>
        </references>
      </pivotArea>
    </chartFormat>
  </chartFormats>
  <pivotHierarchies count="3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F1D93F-0A9F-4C4B-9738-416DBEECC276}" name="Summary 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C1AEE1-4E8D-462A-AABB-7F7B61AE97C6}" name="PivotTable6"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2">
  <location ref="K13:L16"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2">
        <item x="1"/>
        <item x="0"/>
      </items>
    </pivotField>
    <pivotField dataField="1" subtotalTop="0" showAll="0" defaultSubtotal="0"/>
  </pivotFields>
  <rowFields count="1">
    <field x="1"/>
  </rowFields>
  <rowItems count="3">
    <i>
      <x/>
    </i>
    <i>
      <x v="1"/>
    </i>
    <i t="grand">
      <x/>
    </i>
  </rowItems>
  <colItems count="1">
    <i/>
  </colItems>
  <dataFields count="1">
    <dataField fld="2" subtotal="count" baseField="0" baseItem="0"/>
  </dataField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1"/>
          </reference>
        </references>
      </pivotArea>
    </chartFormat>
    <chartFormat chart="21" format="6">
      <pivotArea type="data" outline="0" fieldPosition="0">
        <references count="2">
          <reference field="4294967294" count="1" selected="0">
            <x v="0"/>
          </reference>
          <reference field="1"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A53525-827B-4B4F-B8B0-C4F806ACE3F7}" name="new reps"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5F7D8D4-2E73-42BA-95CC-A72586640341}" sourceName="[calls].[Representative]">
  <pivotTables>
    <pivotTable tabId="6" name="Rep Pivot"/>
    <pivotTable tabId="6" name="monthly trend"/>
    <pivotTable tabId="6" name="weekly trend"/>
    <pivotTable tabId="6" name="PivotTable6"/>
    <pivotTable tabId="7" name="new reps"/>
    <pivotTable tabId="6" name="PivotTable10"/>
    <pivotTable tabId="6" name="PivotTable11"/>
  </pivotTables>
  <data>
    <olap pivotCacheId="4616090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A015A7B-2394-456B-9AF9-DF3F05A6648E}" cache="Slicer_Representative" caption="Representative" columnCount="5"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ustom 1">
      <a:majorFont>
        <a:latin typeface="Arial Rounded MT Bold"/>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D298-A8B6-4060-8669-FE3AF2CD00A0}">
  <dimension ref="A1:AA56"/>
  <sheetViews>
    <sheetView topLeftCell="A3" zoomScale="75" zoomScaleNormal="75" workbookViewId="0">
      <selection activeCell="R39" sqref="R39"/>
    </sheetView>
  </sheetViews>
  <sheetFormatPr defaultRowHeight="13.8"/>
  <cols>
    <col min="1" max="1" width="3.296875" customWidth="1"/>
    <col min="2" max="2" width="2.796875" customWidth="1"/>
    <col min="8" max="8" width="8.796875" customWidth="1"/>
  </cols>
  <sheetData>
    <row r="1" spans="1:27">
      <c r="A1" s="20"/>
      <c r="B1" s="20"/>
      <c r="C1" s="20"/>
      <c r="D1" s="20"/>
      <c r="E1" s="20"/>
      <c r="F1" s="20"/>
      <c r="G1" s="20"/>
      <c r="H1" s="20"/>
      <c r="I1" s="20"/>
      <c r="J1" s="20"/>
      <c r="K1" s="20"/>
      <c r="L1" s="20"/>
      <c r="M1" s="20"/>
      <c r="N1" s="20"/>
      <c r="O1" s="20"/>
      <c r="P1" s="20"/>
      <c r="Q1" s="20"/>
      <c r="R1" s="20"/>
      <c r="S1" s="20"/>
      <c r="T1" s="20"/>
      <c r="U1" s="20"/>
      <c r="V1" s="20"/>
      <c r="W1" s="20"/>
      <c r="X1" s="20"/>
      <c r="Y1" s="20"/>
      <c r="Z1" s="20"/>
      <c r="AA1" s="20"/>
    </row>
    <row r="2" spans="1:27">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spans="1:27">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row>
    <row r="19" spans="1:27">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row>
    <row r="20" spans="1:27">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row>
    <row r="21" spans="1:27">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row>
    <row r="22" spans="1:27">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row>
    <row r="23" spans="1:27">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row>
    <row r="24" spans="1:27">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row>
    <row r="25" spans="1:27">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row>
    <row r="26" spans="1:27">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row>
    <row r="27" spans="1: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row>
    <row r="28" spans="1:27">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row>
    <row r="29" spans="1:27">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row>
    <row r="30" spans="1:27">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row>
    <row r="31" spans="1:27">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row>
    <row r="32" spans="1:27">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row>
    <row r="33" spans="1:27">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row>
    <row r="34" spans="1:27">
      <c r="AA34" s="20"/>
    </row>
    <row r="35" spans="1:27">
      <c r="AA35" s="20"/>
    </row>
    <row r="36" spans="1:27">
      <c r="AA36" s="20"/>
    </row>
    <row r="37" spans="1:27">
      <c r="Y37" s="20"/>
      <c r="AA37" s="20"/>
    </row>
    <row r="38" spans="1:27">
      <c r="AA38" s="20"/>
    </row>
    <row r="39" spans="1:27">
      <c r="Y39" s="20"/>
    </row>
    <row r="50" spans="18:18">
      <c r="R50" s="20"/>
    </row>
    <row r="51" spans="18:18">
      <c r="R51" s="20"/>
    </row>
    <row r="52" spans="18:18">
      <c r="R52" s="20"/>
    </row>
    <row r="53" spans="18:18">
      <c r="R53" s="20"/>
    </row>
    <row r="54" spans="18:18">
      <c r="R54" s="20"/>
    </row>
    <row r="55" spans="18:18">
      <c r="R55" s="20"/>
    </row>
    <row r="56" spans="18:18">
      <c r="R56"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topLeftCell="I1" zoomScale="115" zoomScaleNormal="115" workbookViewId="0">
      <selection activeCell="J17" sqref="J17"/>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24.5" customWidth="1"/>
    <col min="9" max="9" width="17.19921875" customWidth="1"/>
    <col min="10" max="11" width="15.5" customWidth="1"/>
    <col min="12" max="12" width="25.69921875" customWidth="1"/>
    <col min="13" max="16" width="7.5" customWidth="1"/>
    <col min="17" max="17" width="14.59765625" customWidth="1"/>
    <col min="20" max="20" width="10.59765625" customWidth="1"/>
  </cols>
  <sheetData>
    <row r="1" spans="2:20" s="4" customFormat="1" ht="48" customHeight="1">
      <c r="B1" s="5" t="s">
        <v>1000</v>
      </c>
    </row>
    <row r="2" spans="2:20">
      <c r="R2" s="1"/>
    </row>
    <row r="3" spans="2:20">
      <c r="B3" s="14" t="s">
        <v>25</v>
      </c>
      <c r="C3" s="14" t="s">
        <v>0</v>
      </c>
      <c r="D3" s="15" t="s">
        <v>1</v>
      </c>
      <c r="E3" s="16" t="s">
        <v>3</v>
      </c>
      <c r="F3" s="16" t="s">
        <v>4</v>
      </c>
      <c r="G3" s="14" t="s">
        <v>2</v>
      </c>
      <c r="H3" s="14" t="s">
        <v>994</v>
      </c>
      <c r="I3" t="s">
        <v>1033</v>
      </c>
      <c r="J3" t="s">
        <v>1034</v>
      </c>
      <c r="K3" t="s">
        <v>1035</v>
      </c>
      <c r="L3" t="s">
        <v>1036</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1038</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1039</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1040</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1039</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1038</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1038</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1039</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1039</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1038</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1040</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1039</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1040</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1038</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1040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1038</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1001</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1002</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1003</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1004</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1005</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1006</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1007</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1008</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1009</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1010</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1011</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1012</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1013</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1014</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1015</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1016</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1017</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1018</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1019</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1020</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1021</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1022</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1023</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1024</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1025</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1026</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1027</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1028</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1029</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1030</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1031</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1032</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E7"/>
  <sheetViews>
    <sheetView zoomScale="115" zoomScaleNormal="115" workbookViewId="0">
      <selection activeCell="E9" sqref="E9"/>
    </sheetView>
  </sheetViews>
  <sheetFormatPr defaultRowHeight="13.8"/>
  <cols>
    <col min="5" max="5" width="10.8984375" customWidth="1"/>
    <col min="6" max="6" width="11.5" customWidth="1"/>
  </cols>
  <sheetData>
    <row r="2" spans="5:5">
      <c r="E2" t="s">
        <v>1037</v>
      </c>
    </row>
    <row r="3" spans="5:5" ht="25.5" customHeight="1">
      <c r="E3" t="s">
        <v>11</v>
      </c>
    </row>
    <row r="4" spans="5:5" ht="25.5" customHeight="1">
      <c r="E4" t="s">
        <v>9</v>
      </c>
    </row>
    <row r="5" spans="5:5" ht="25.5" customHeight="1">
      <c r="E5" t="s">
        <v>6</v>
      </c>
    </row>
    <row r="6" spans="5:5" ht="25.5" customHeight="1">
      <c r="E6" t="s">
        <v>13</v>
      </c>
    </row>
    <row r="7" spans="5:5" ht="25.5" customHeight="1">
      <c r="E7"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86E7-AF04-4349-B73D-6205BCD0D952}">
  <dimension ref="A3:P31"/>
  <sheetViews>
    <sheetView topLeftCell="D17" workbookViewId="0">
      <selection activeCell="G29" sqref="G29"/>
    </sheetView>
  </sheetViews>
  <sheetFormatPr defaultRowHeight="13.8"/>
  <cols>
    <col min="1" max="1" width="13.09765625" bestFit="1" customWidth="1"/>
    <col min="2" max="2" width="9.8984375" bestFit="1" customWidth="1"/>
    <col min="3" max="3" width="10.8984375" bestFit="1" customWidth="1"/>
    <col min="4" max="4" width="10" bestFit="1" customWidth="1"/>
    <col min="5" max="5" width="5.8984375" bestFit="1" customWidth="1"/>
    <col min="6" max="6" width="10" bestFit="1" customWidth="1"/>
    <col min="7" max="7" width="11.09765625" bestFit="1" customWidth="1"/>
    <col min="8" max="8" width="16.09765625" bestFit="1" customWidth="1"/>
    <col min="9" max="9" width="11" bestFit="1" customWidth="1"/>
    <col min="10" max="10" width="13.09765625" bestFit="1" customWidth="1"/>
    <col min="11" max="11" width="16.09765625" bestFit="1" customWidth="1"/>
    <col min="12" max="12" width="5" bestFit="1" customWidth="1"/>
    <col min="13" max="13" width="11" bestFit="1" customWidth="1"/>
  </cols>
  <sheetData>
    <row r="3" spans="1:12">
      <c r="A3" t="s">
        <v>1041</v>
      </c>
      <c r="B3" t="s">
        <v>1042</v>
      </c>
      <c r="C3" t="s">
        <v>1043</v>
      </c>
      <c r="D3" t="s">
        <v>1044</v>
      </c>
      <c r="E3" t="s">
        <v>1047</v>
      </c>
    </row>
    <row r="4" spans="1:12">
      <c r="A4" s="23">
        <v>1000</v>
      </c>
      <c r="B4" s="22">
        <v>96623</v>
      </c>
      <c r="C4" s="23">
        <v>89850</v>
      </c>
      <c r="D4" s="24">
        <v>3.8854000000000033</v>
      </c>
      <c r="E4" s="21">
        <v>307</v>
      </c>
    </row>
    <row r="10" spans="1:12">
      <c r="A10" t="s">
        <v>1041</v>
      </c>
      <c r="B10" t="s">
        <v>1042</v>
      </c>
      <c r="C10" t="s">
        <v>1043</v>
      </c>
      <c r="D10" t="s">
        <v>1044</v>
      </c>
      <c r="E10" t="s">
        <v>1047</v>
      </c>
    </row>
    <row r="11" spans="1:12">
      <c r="A11" s="23">
        <v>200</v>
      </c>
      <c r="B11" s="22">
        <v>20104</v>
      </c>
      <c r="C11" s="23">
        <v>18209</v>
      </c>
      <c r="D11" s="24">
        <v>3.8824999999999998</v>
      </c>
      <c r="E11" s="21">
        <v>51</v>
      </c>
    </row>
    <row r="13" spans="1:12">
      <c r="K13" s="25" t="s">
        <v>1045</v>
      </c>
      <c r="L13" t="s">
        <v>1041</v>
      </c>
    </row>
    <row r="14" spans="1:12">
      <c r="A14" s="25" t="s">
        <v>1045</v>
      </c>
      <c r="B14" t="s">
        <v>1041</v>
      </c>
      <c r="C14" t="s">
        <v>1060</v>
      </c>
      <c r="G14" s="25" t="s">
        <v>1045</v>
      </c>
      <c r="H14" t="s">
        <v>1041</v>
      </c>
      <c r="K14" s="26" t="s">
        <v>998</v>
      </c>
      <c r="L14" s="23">
        <v>83</v>
      </c>
    </row>
    <row r="15" spans="1:12">
      <c r="A15" s="26" t="s">
        <v>1048</v>
      </c>
      <c r="B15" s="23">
        <v>21</v>
      </c>
      <c r="C15" s="23">
        <v>21</v>
      </c>
      <c r="G15" s="26" t="s">
        <v>1064</v>
      </c>
      <c r="H15" s="23">
        <v>27</v>
      </c>
      <c r="K15" s="26" t="s">
        <v>999</v>
      </c>
      <c r="L15" s="23">
        <v>117</v>
      </c>
    </row>
    <row r="16" spans="1:12">
      <c r="A16" s="26" t="s">
        <v>1049</v>
      </c>
      <c r="B16" s="23">
        <v>18</v>
      </c>
      <c r="C16" s="23">
        <v>18</v>
      </c>
      <c r="G16" s="26" t="s">
        <v>1062</v>
      </c>
      <c r="H16" s="23">
        <v>22</v>
      </c>
      <c r="K16" s="26" t="s">
        <v>1046</v>
      </c>
      <c r="L16" s="23">
        <v>200</v>
      </c>
    </row>
    <row r="17" spans="1:16">
      <c r="A17" s="26" t="s">
        <v>1050</v>
      </c>
      <c r="B17" s="23">
        <v>31</v>
      </c>
      <c r="C17" s="23">
        <v>31</v>
      </c>
      <c r="G17" s="26" t="s">
        <v>1066</v>
      </c>
      <c r="H17" s="23">
        <v>27</v>
      </c>
    </row>
    <row r="18" spans="1:16">
      <c r="A18" s="26" t="s">
        <v>1051</v>
      </c>
      <c r="B18" s="23">
        <v>20</v>
      </c>
      <c r="C18" s="23">
        <v>20</v>
      </c>
      <c r="G18" s="26" t="s">
        <v>1067</v>
      </c>
      <c r="H18" s="23">
        <v>27</v>
      </c>
    </row>
    <row r="19" spans="1:16">
      <c r="A19" s="26" t="s">
        <v>1052</v>
      </c>
      <c r="B19" s="23">
        <v>8</v>
      </c>
      <c r="C19" s="23">
        <v>8</v>
      </c>
      <c r="G19" s="26" t="s">
        <v>1065</v>
      </c>
      <c r="H19" s="23">
        <v>27</v>
      </c>
    </row>
    <row r="20" spans="1:16">
      <c r="A20" s="26" t="s">
        <v>1053</v>
      </c>
      <c r="B20" s="23">
        <v>12</v>
      </c>
      <c r="C20" s="23">
        <v>12</v>
      </c>
      <c r="G20" s="26" t="s">
        <v>1061</v>
      </c>
      <c r="H20" s="23">
        <v>32</v>
      </c>
    </row>
    <row r="21" spans="1:16">
      <c r="A21" s="26" t="s">
        <v>1054</v>
      </c>
      <c r="B21" s="23">
        <v>12</v>
      </c>
      <c r="C21" s="23">
        <v>12</v>
      </c>
      <c r="G21" s="26" t="s">
        <v>1063</v>
      </c>
      <c r="H21" s="23">
        <v>38</v>
      </c>
    </row>
    <row r="22" spans="1:16">
      <c r="A22" s="26" t="s">
        <v>1055</v>
      </c>
      <c r="B22" s="23">
        <v>7</v>
      </c>
      <c r="C22" s="23">
        <v>7</v>
      </c>
      <c r="G22" s="26" t="s">
        <v>1046</v>
      </c>
      <c r="H22" s="23">
        <v>200</v>
      </c>
    </row>
    <row r="23" spans="1:16">
      <c r="A23" s="26" t="s">
        <v>1056</v>
      </c>
      <c r="B23" s="23">
        <v>20</v>
      </c>
      <c r="C23" s="23">
        <v>20</v>
      </c>
    </row>
    <row r="24" spans="1:16">
      <c r="A24" s="26" t="s">
        <v>1057</v>
      </c>
      <c r="B24" s="23">
        <v>24</v>
      </c>
      <c r="C24" s="23">
        <v>24</v>
      </c>
      <c r="O24" s="22"/>
    </row>
    <row r="25" spans="1:16">
      <c r="A25" s="26" t="s">
        <v>1058</v>
      </c>
      <c r="B25" s="23">
        <v>12</v>
      </c>
      <c r="C25" s="23">
        <v>12</v>
      </c>
      <c r="J25" s="25" t="s">
        <v>1041</v>
      </c>
      <c r="K25" s="25" t="s">
        <v>1068</v>
      </c>
      <c r="O25" s="22"/>
    </row>
    <row r="26" spans="1:16">
      <c r="A26" s="26" t="s">
        <v>1059</v>
      </c>
      <c r="B26" s="23">
        <v>15</v>
      </c>
      <c r="C26" s="23">
        <v>15</v>
      </c>
      <c r="J26" s="25" t="s">
        <v>1045</v>
      </c>
      <c r="K26" t="s">
        <v>999</v>
      </c>
      <c r="L26" t="s">
        <v>998</v>
      </c>
      <c r="M26" t="s">
        <v>1046</v>
      </c>
      <c r="O26" s="22"/>
      <c r="P26" s="22"/>
    </row>
    <row r="27" spans="1:16">
      <c r="A27" s="26" t="s">
        <v>1046</v>
      </c>
      <c r="B27" s="23">
        <v>200</v>
      </c>
      <c r="C27" s="23">
        <v>200</v>
      </c>
      <c r="J27" s="26" t="s">
        <v>1039</v>
      </c>
      <c r="K27" s="23">
        <v>40</v>
      </c>
      <c r="L27" s="23">
        <v>35</v>
      </c>
      <c r="M27" s="23">
        <v>75</v>
      </c>
      <c r="O27" s="22"/>
    </row>
    <row r="28" spans="1:16">
      <c r="J28" s="26" t="s">
        <v>1038</v>
      </c>
      <c r="K28" s="23">
        <v>43</v>
      </c>
      <c r="L28" s="23">
        <v>40</v>
      </c>
      <c r="M28" s="23">
        <v>83</v>
      </c>
      <c r="O28" s="22"/>
    </row>
    <row r="29" spans="1:16">
      <c r="H29" s="25" t="s">
        <v>1068</v>
      </c>
      <c r="J29" s="26" t="s">
        <v>1040</v>
      </c>
      <c r="K29" s="23">
        <v>34</v>
      </c>
      <c r="L29" s="23">
        <v>8</v>
      </c>
      <c r="M29" s="23">
        <v>42</v>
      </c>
    </row>
    <row r="30" spans="1:16">
      <c r="H30" t="s">
        <v>10</v>
      </c>
      <c r="I30" t="s">
        <v>1046</v>
      </c>
      <c r="J30" s="26" t="s">
        <v>1046</v>
      </c>
      <c r="K30" s="23">
        <v>117</v>
      </c>
      <c r="L30" s="23">
        <v>83</v>
      </c>
      <c r="M30" s="23">
        <v>200</v>
      </c>
    </row>
    <row r="31" spans="1:16">
      <c r="G31" t="s">
        <v>1069</v>
      </c>
      <c r="H31" s="27">
        <v>489</v>
      </c>
      <c r="I31" s="27">
        <v>489</v>
      </c>
    </row>
  </sheetData>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6FE1-6618-4279-AC66-055318051E60}">
  <dimension ref="A3:N9"/>
  <sheetViews>
    <sheetView topLeftCell="B1" workbookViewId="0">
      <selection activeCell="C33" sqref="C33"/>
    </sheetView>
  </sheetViews>
  <sheetFormatPr defaultRowHeight="13.8"/>
  <cols>
    <col min="1" max="1" width="13.09765625" bestFit="1" customWidth="1"/>
    <col min="2" max="2" width="9.8984375" bestFit="1" customWidth="1"/>
    <col min="3" max="3" width="7.8984375" bestFit="1" customWidth="1"/>
  </cols>
  <sheetData>
    <row r="3" spans="1:14">
      <c r="A3" s="25" t="s">
        <v>1045</v>
      </c>
      <c r="B3" t="s">
        <v>1041</v>
      </c>
      <c r="C3" t="s">
        <v>1042</v>
      </c>
    </row>
    <row r="4" spans="1:14">
      <c r="A4" s="26" t="s">
        <v>10</v>
      </c>
      <c r="B4" s="23">
        <v>200</v>
      </c>
      <c r="C4" s="22">
        <v>20104</v>
      </c>
      <c r="F4" t="str">
        <f>A4</f>
        <v>R05</v>
      </c>
      <c r="G4">
        <f t="shared" ref="G4:H8" si="0">B4</f>
        <v>200</v>
      </c>
      <c r="H4" s="28">
        <f>C4</f>
        <v>20104</v>
      </c>
    </row>
    <row r="5" spans="1:14">
      <c r="A5" s="26" t="s">
        <v>1046</v>
      </c>
      <c r="B5" s="23">
        <v>200</v>
      </c>
      <c r="C5" s="22">
        <v>20104</v>
      </c>
      <c r="F5" t="str">
        <f t="shared" ref="F5:F8" si="1">A5</f>
        <v>Grand Total</v>
      </c>
      <c r="G5">
        <f t="shared" si="0"/>
        <v>200</v>
      </c>
      <c r="H5" s="28">
        <f>C5</f>
        <v>20104</v>
      </c>
      <c r="L5" t="str">
        <f>A4</f>
        <v>R05</v>
      </c>
      <c r="N5" s="29">
        <f>H4</f>
        <v>20104</v>
      </c>
    </row>
    <row r="6" spans="1:14">
      <c r="F6">
        <f t="shared" si="1"/>
        <v>0</v>
      </c>
      <c r="G6">
        <f t="shared" si="0"/>
        <v>0</v>
      </c>
      <c r="H6" s="28">
        <f t="shared" si="0"/>
        <v>0</v>
      </c>
      <c r="L6" t="str">
        <f>A5</f>
        <v>Grand Total</v>
      </c>
      <c r="M6" s="28"/>
      <c r="N6" s="28">
        <f t="shared" ref="N6:N9" si="2">H5</f>
        <v>20104</v>
      </c>
    </row>
    <row r="7" spans="1:14">
      <c r="F7">
        <f t="shared" si="1"/>
        <v>0</v>
      </c>
      <c r="G7">
        <f t="shared" si="0"/>
        <v>0</v>
      </c>
      <c r="H7" s="28">
        <f t="shared" si="0"/>
        <v>0</v>
      </c>
      <c r="L7">
        <f t="shared" ref="L7:L9" si="3">A6</f>
        <v>0</v>
      </c>
      <c r="M7" s="28"/>
      <c r="N7" s="28">
        <f t="shared" si="2"/>
        <v>0</v>
      </c>
    </row>
    <row r="8" spans="1:14">
      <c r="F8">
        <f t="shared" si="1"/>
        <v>0</v>
      </c>
      <c r="G8">
        <f t="shared" si="0"/>
        <v>0</v>
      </c>
      <c r="H8" s="28">
        <f t="shared" si="0"/>
        <v>0</v>
      </c>
      <c r="L8">
        <f t="shared" si="3"/>
        <v>0</v>
      </c>
      <c r="M8" s="28"/>
      <c r="N8" s="28">
        <f t="shared" si="2"/>
        <v>0</v>
      </c>
    </row>
    <row r="9" spans="1:14">
      <c r="L9">
        <f t="shared" si="3"/>
        <v>0</v>
      </c>
      <c r="M9" s="28"/>
      <c r="N9" s="28">
        <f t="shared" si="2"/>
        <v>0</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Dashbord</vt:lpstr>
      <vt:lpstr>Data</vt:lpstr>
      <vt:lpstr>Assets</vt:lpstr>
      <vt:lpstr>pivots</vt:lpstr>
      <vt:lpstr>freework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Krishna Patel</cp:lastModifiedBy>
  <dcterms:created xsi:type="dcterms:W3CDTF">2021-03-14T20:21:32Z</dcterms:created>
  <dcterms:modified xsi:type="dcterms:W3CDTF">2026-07-15T09:37:17Z</dcterms:modified>
</cp:coreProperties>
</file>